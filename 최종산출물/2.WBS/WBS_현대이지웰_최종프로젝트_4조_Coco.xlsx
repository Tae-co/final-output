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b-dev\Downloads\"/>
    </mc:Choice>
  </mc:AlternateContent>
  <xr:revisionPtr revIDLastSave="0" documentId="13_ncr:1_{AE3C37A6-ABD9-41B4-96EE-05B74FB3A1D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co_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9P9l+n0kQgGjOERrCc8XGDoKiggPGJ4cHtmRreXYi5g="/>
    </ext>
  </extLst>
</workbook>
</file>

<file path=xl/calcChain.xml><?xml version="1.0" encoding="utf-8"?>
<calcChain xmlns="http://schemas.openxmlformats.org/spreadsheetml/2006/main">
  <c r="D86" i="1" l="1"/>
  <c r="D87" i="1"/>
  <c r="F86" i="1"/>
  <c r="E86" i="1"/>
  <c r="F82" i="1"/>
  <c r="E82" i="1"/>
  <c r="E39" i="1" s="1"/>
  <c r="F133" i="1"/>
  <c r="E133" i="1"/>
  <c r="F128" i="1"/>
  <c r="E128" i="1"/>
  <c r="F121" i="1"/>
  <c r="E121" i="1"/>
  <c r="F115" i="1"/>
  <c r="E115" i="1"/>
  <c r="F26" i="1"/>
  <c r="E31" i="1"/>
  <c r="F31" i="1"/>
  <c r="E19" i="1"/>
  <c r="E26" i="1"/>
  <c r="F19" i="1"/>
  <c r="F14" i="1"/>
  <c r="E14" i="1"/>
  <c r="F6" i="1"/>
  <c r="E6" i="1"/>
  <c r="D7" i="1"/>
  <c r="D8" i="1"/>
  <c r="D9" i="1"/>
  <c r="F10" i="1"/>
  <c r="E10" i="1"/>
  <c r="F88" i="1"/>
  <c r="E88" i="1"/>
  <c r="F39" i="1"/>
  <c r="D132" i="1"/>
  <c r="D131" i="1"/>
  <c r="D130" i="1"/>
  <c r="D129" i="1"/>
  <c r="D13" i="1"/>
  <c r="D126" i="1"/>
  <c r="D33" i="1"/>
  <c r="D35" i="1"/>
  <c r="D36" i="1"/>
  <c r="D37" i="1"/>
  <c r="D38" i="1"/>
  <c r="D27" i="1"/>
  <c r="D28" i="1"/>
  <c r="D29" i="1"/>
  <c r="D30" i="1"/>
  <c r="D54" i="1"/>
  <c r="D46" i="1"/>
  <c r="D44" i="1"/>
  <c r="D45" i="1"/>
  <c r="D113" i="1"/>
  <c r="D114" i="1"/>
  <c r="D116" i="1"/>
  <c r="D117" i="1"/>
  <c r="D118" i="1"/>
  <c r="D119" i="1"/>
  <c r="D120" i="1"/>
  <c r="D122" i="1"/>
  <c r="D123" i="1"/>
  <c r="D124" i="1"/>
  <c r="D125" i="1"/>
  <c r="D127" i="1"/>
  <c r="D134" i="1"/>
  <c r="D135" i="1"/>
  <c r="D136" i="1"/>
  <c r="D137" i="1"/>
  <c r="D110" i="1"/>
  <c r="D111" i="1"/>
  <c r="D112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41" i="1"/>
  <c r="D42" i="1"/>
  <c r="D43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3" i="1"/>
  <c r="D84" i="1"/>
  <c r="D85" i="1"/>
  <c r="D40" i="1"/>
  <c r="D11" i="1"/>
  <c r="D12" i="1"/>
  <c r="D32" i="1"/>
  <c r="D34" i="1"/>
  <c r="D15" i="1"/>
  <c r="D16" i="1"/>
  <c r="D17" i="1"/>
  <c r="D18" i="1"/>
  <c r="D20" i="1"/>
  <c r="D21" i="1"/>
  <c r="D22" i="1"/>
  <c r="D23" i="1"/>
  <c r="D24" i="1"/>
  <c r="D25" i="1"/>
  <c r="D31" i="1" l="1"/>
  <c r="D82" i="1"/>
  <c r="D115" i="1"/>
  <c r="D133" i="1"/>
  <c r="D19" i="1"/>
  <c r="D10" i="1"/>
  <c r="D121" i="1"/>
  <c r="D39" i="1"/>
  <c r="D26" i="1"/>
  <c r="D88" i="1"/>
  <c r="D128" i="1"/>
  <c r="D14" i="1"/>
  <c r="D6" i="1"/>
</calcChain>
</file>

<file path=xl/sharedStrings.xml><?xml version="1.0" encoding="utf-8"?>
<sst xmlns="http://schemas.openxmlformats.org/spreadsheetml/2006/main" count="1006" uniqueCount="232">
  <si>
    <t>WBS(Work Breakdown Structure)</t>
  </si>
  <si>
    <t>COCO</t>
  </si>
  <si>
    <t>4조</t>
  </si>
  <si>
    <t>프로젝트 타이틀</t>
  </si>
  <si>
    <t>사용자 후기 중심의 뷰티 아이템 쇼핑몰 구현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</si>
  <si>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</si>
  <si>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</si>
  <si>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</si>
  <si>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</si>
  <si>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</si>
  <si>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</si>
  <si>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</si>
  <si>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</si>
  <si>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</si>
  <si>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</si>
  <si>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</si>
  <si>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</si>
  <si>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</si>
  <si>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</si>
  <si>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</si>
  <si>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</si>
  <si>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</si>
  <si>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</si>
  <si>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</si>
  <si>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</si>
  <si>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</si>
  <si>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</si>
  <si>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</si>
  <si>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</si>
  <si>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</si>
  <si>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</si>
  <si>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</si>
  <si>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</si>
  <si>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</si>
  <si>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</si>
  <si>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</si>
  <si>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</si>
  <si>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</si>
  <si>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</si>
  <si>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</si>
  <si>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</si>
  <si>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</si>
  <si>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</si>
  <si>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32일</t>
  </si>
  <si>
    <t>33일</t>
  </si>
  <si>
    <t>34일</t>
  </si>
  <si>
    <t>35일</t>
  </si>
  <si>
    <t>36일</t>
  </si>
  <si>
    <t>37일</t>
  </si>
  <si>
    <t>38일</t>
  </si>
  <si>
    <t>39일</t>
  </si>
  <si>
    <t>40일</t>
  </si>
  <si>
    <t>41일</t>
  </si>
  <si>
    <t>42일</t>
  </si>
  <si>
    <t>43일</t>
  </si>
  <si>
    <t>44일</t>
  </si>
  <si>
    <t>45일</t>
  </si>
  <si>
    <t>46일</t>
  </si>
  <si>
    <t>47일</t>
  </si>
  <si>
    <t>48일</t>
  </si>
  <si>
    <t>49일</t>
  </si>
  <si>
    <t>50일</t>
  </si>
  <si>
    <t>51일</t>
  </si>
  <si>
    <t>52일</t>
  </si>
  <si>
    <t>53일</t>
  </si>
  <si>
    <t>54일</t>
  </si>
  <si>
    <t>55일</t>
  </si>
  <si>
    <t>56일</t>
  </si>
  <si>
    <t>57일</t>
  </si>
  <si>
    <t>58일</t>
  </si>
  <si>
    <t>59일</t>
  </si>
  <si>
    <t>60일</t>
  </si>
  <si>
    <t>비고(산출물)</t>
  </si>
  <si>
    <t>MSA 특강</t>
  </si>
  <si>
    <t>취업 특강</t>
  </si>
  <si>
    <t>2.1 개발 환경 구축</t>
  </si>
  <si>
    <t>2.1.1 SpringBoot &amp; react 개발 환경 구축</t>
  </si>
  <si>
    <t>2.1.2 Eclipse,IntelliJ, VSCode, GitHub 협업 환경 세팅</t>
  </si>
  <si>
    <t>2.1.4 JWT 기반 인증 환경 구성</t>
  </si>
  <si>
    <t>유즈케이스 다이어그램</t>
  </si>
  <si>
    <t>요구사항 명세서</t>
  </si>
  <si>
    <t>유저 플로우차트</t>
  </si>
  <si>
    <t>2.3 DB 설계</t>
  </si>
  <si>
    <t>3.1 프론트엔드 구현</t>
  </si>
  <si>
    <t>3.1.1 메인</t>
  </si>
  <si>
    <t>3.1.2 상품</t>
  </si>
  <si>
    <t>3.1.3 리뷰</t>
  </si>
  <si>
    <t>좋아요 버튼</t>
  </si>
  <si>
    <t>3.1.4 장바구니</t>
  </si>
  <si>
    <t>장바구니 담기</t>
  </si>
  <si>
    <t>장바구니 상품 수량 변경</t>
  </si>
  <si>
    <t>장바구니 상품 삭제</t>
  </si>
  <si>
    <t>장바구니 상품 체크박스</t>
  </si>
  <si>
    <t>3.1.5 주문 결제</t>
  </si>
  <si>
    <t>3.1.6 마이페이지</t>
  </si>
  <si>
    <t>회원 탈퇴</t>
  </si>
  <si>
    <t>3.1.7 co-mate</t>
  </si>
  <si>
    <t>3.1.8 관리자 페이지</t>
  </si>
  <si>
    <t>3.2.1 로그인/회원가입</t>
  </si>
  <si>
    <t>3.2.2 상품</t>
  </si>
  <si>
    <t>3.2.3 리뷰</t>
  </si>
  <si>
    <t>3.2.4 장바구니</t>
  </si>
  <si>
    <t>3.2.7 마이페이지</t>
  </si>
  <si>
    <t>3.2.8 관리자</t>
  </si>
  <si>
    <t>4.1.2 파일 에러 수정</t>
  </si>
  <si>
    <t>4.1.3 API 연동 점검</t>
  </si>
  <si>
    <t>4.1.5 빌드/런타임 환경 테스트</t>
  </si>
  <si>
    <t>4.2 테스트</t>
  </si>
  <si>
    <t xml:space="preserve">5.2.1 백엔드 배포 </t>
  </si>
  <si>
    <t>5.2.2 프론트엔드 배포</t>
  </si>
  <si>
    <t>기획</t>
    <phoneticPr fontId="15" type="noConversion"/>
  </si>
  <si>
    <t>개발</t>
    <phoneticPr fontId="15" type="noConversion"/>
  </si>
  <si>
    <r>
      <rPr>
        <sz val="8"/>
        <color theme="1"/>
        <rFont val="맑은 고딕"/>
        <family val="3"/>
        <charset val="129"/>
      </rPr>
      <t>병합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테스트</t>
    </r>
    <phoneticPr fontId="15" type="noConversion"/>
  </si>
  <si>
    <t>배포</t>
    <phoneticPr fontId="15" type="noConversion"/>
  </si>
  <si>
    <t>Header</t>
    <phoneticPr fontId="15" type="noConversion"/>
  </si>
  <si>
    <t>Footer</t>
    <phoneticPr fontId="15" type="noConversion"/>
  </si>
  <si>
    <t>상품 카테고리</t>
    <phoneticPr fontId="15" type="noConversion"/>
  </si>
  <si>
    <t>회원 관리</t>
    <phoneticPr fontId="15" type="noConversion"/>
  </si>
  <si>
    <t>주문 관리</t>
    <phoneticPr fontId="15" type="noConversion"/>
  </si>
  <si>
    <t>메인 배너</t>
    <phoneticPr fontId="15" type="noConversion"/>
  </si>
  <si>
    <r>
      <t xml:space="preserve">Co-mate </t>
    </r>
    <r>
      <rPr>
        <sz val="8"/>
        <color theme="1"/>
        <rFont val="맑은 고딕"/>
        <family val="2"/>
        <charset val="129"/>
      </rPr>
      <t>슬라이더</t>
    </r>
    <phoneticPr fontId="15" type="noConversion"/>
  </si>
  <si>
    <r>
      <rPr>
        <sz val="8"/>
        <color theme="1"/>
        <rFont val="맑은 고딕"/>
        <family val="2"/>
        <charset val="129"/>
      </rPr>
      <t>베스트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맑은 고딕"/>
        <family val="2"/>
        <charset val="129"/>
      </rPr>
      <t>셀러 슬라이더</t>
    </r>
    <phoneticPr fontId="15" type="noConversion"/>
  </si>
  <si>
    <t>이규리</t>
    <phoneticPr fontId="15" type="noConversion"/>
  </si>
  <si>
    <t>이규리, 최승훈</t>
    <phoneticPr fontId="15" type="noConversion"/>
  </si>
  <si>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목록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조회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레이아웃</t>
    </r>
    <phoneticPr fontId="15" type="noConversion"/>
  </si>
  <si>
    <t>상품 검색바 및 필터 UI</t>
    <phoneticPr fontId="15" type="noConversion"/>
  </si>
  <si>
    <r>
      <rPr>
        <sz val="8"/>
        <color theme="1"/>
        <rFont val="맑은 고딕"/>
        <family val="3"/>
        <charset val="129"/>
      </rPr>
      <t>카테고리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네비게이션</t>
    </r>
    <phoneticPr fontId="15" type="noConversion"/>
  </si>
  <si>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상세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페이지</t>
    </r>
    <r>
      <rPr>
        <sz val="8"/>
        <color theme="1"/>
        <rFont val="Calibri"/>
        <family val="3"/>
      </rPr>
      <t xml:space="preserve"> (</t>
    </r>
    <r>
      <rPr>
        <sz val="8"/>
        <color theme="1"/>
        <rFont val="맑은 고딕"/>
        <family val="3"/>
        <charset val="129"/>
      </rPr>
      <t>갤러리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탭</t>
    </r>
    <r>
      <rPr>
        <sz val="8"/>
        <color theme="1"/>
        <rFont val="Calibri"/>
        <family val="3"/>
      </rPr>
      <t>)</t>
    </r>
    <phoneticPr fontId="15" type="noConversion"/>
  </si>
  <si>
    <t>신태엽</t>
    <phoneticPr fontId="15" type="noConversion"/>
  </si>
  <si>
    <t>최승훈</t>
    <phoneticPr fontId="15" type="noConversion"/>
  </si>
  <si>
    <r>
      <rPr>
        <sz val="8"/>
        <color theme="1"/>
        <rFont val="맑은 고딕"/>
        <family val="3"/>
        <charset val="129"/>
      </rPr>
      <t>리뷰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수정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삭제</t>
    </r>
    <r>
      <rPr>
        <sz val="8"/>
        <color theme="1"/>
        <rFont val="Calibri"/>
        <family val="3"/>
      </rPr>
      <t xml:space="preserve"> UI</t>
    </r>
    <phoneticPr fontId="15" type="noConversion"/>
  </si>
  <si>
    <r>
      <rPr>
        <sz val="8"/>
        <color theme="1"/>
        <rFont val="맑은 고딕"/>
        <family val="3"/>
        <charset val="129"/>
      </rPr>
      <t>상품별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리뷰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목록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나열</t>
    </r>
    <phoneticPr fontId="15" type="noConversion"/>
  </si>
  <si>
    <r>
      <rPr>
        <sz val="8"/>
        <color theme="1"/>
        <rFont val="맑은 고딕"/>
        <family val="3"/>
        <charset val="129"/>
      </rPr>
      <t>이미지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파일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업로드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기능</t>
    </r>
    <phoneticPr fontId="15" type="noConversion"/>
  </si>
  <si>
    <t>이준범</t>
    <phoneticPr fontId="15" type="noConversion"/>
  </si>
  <si>
    <t>임응규</t>
    <phoneticPr fontId="15" type="noConversion"/>
  </si>
  <si>
    <r>
      <rPr>
        <sz val="8"/>
        <color theme="1"/>
        <rFont val="맑은 고딕"/>
        <family val="3"/>
        <charset val="129"/>
      </rPr>
      <t>리뷰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작성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폼</t>
    </r>
    <r>
      <rPr>
        <sz val="8"/>
        <color theme="1"/>
        <rFont val="Calibri"/>
        <family val="3"/>
      </rPr>
      <t xml:space="preserve"> (</t>
    </r>
    <r>
      <rPr>
        <sz val="8"/>
        <color theme="1"/>
        <rFont val="맑은 고딕"/>
        <family val="3"/>
        <charset val="129"/>
      </rPr>
      <t>별점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태그</t>
    </r>
    <r>
      <rPr>
        <sz val="8"/>
        <color theme="1"/>
        <rFont val="Calibri"/>
        <family val="3"/>
      </rPr>
      <t>)</t>
    </r>
    <phoneticPr fontId="15" type="noConversion"/>
  </si>
  <si>
    <t>주문서 작성 페이지</t>
    <phoneticPr fontId="15" type="noConversion"/>
  </si>
  <si>
    <t>배송 정보 입력 (주소 API)</t>
    <phoneticPr fontId="15" type="noConversion"/>
  </si>
  <si>
    <r>
      <rPr>
        <sz val="8"/>
        <color theme="1"/>
        <rFont val="맑은 고딕"/>
        <family val="3"/>
        <charset val="129"/>
      </rPr>
      <t>결제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수단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선택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연동</t>
    </r>
    <phoneticPr fontId="15" type="noConversion"/>
  </si>
  <si>
    <r>
      <rPr>
        <sz val="8"/>
        <color theme="1"/>
        <rFont val="맑은 고딕"/>
        <family val="2"/>
        <charset val="129"/>
      </rPr>
      <t>결제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완료</t>
    </r>
    <r>
      <rPr>
        <sz val="8"/>
        <color theme="1"/>
        <rFont val="Calibri"/>
        <family val="2"/>
      </rPr>
      <t>/</t>
    </r>
    <r>
      <rPr>
        <sz val="8"/>
        <color theme="1"/>
        <rFont val="맑은 고딕"/>
        <family val="2"/>
        <charset val="129"/>
      </rPr>
      <t>실패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페이지</t>
    </r>
    <phoneticPr fontId="15" type="noConversion"/>
  </si>
  <si>
    <r>
      <rPr>
        <sz val="8"/>
        <color theme="1"/>
        <rFont val="맑은 고딕"/>
        <family val="3"/>
        <charset val="129"/>
      </rPr>
      <t>주문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내역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상세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조회</t>
    </r>
    <phoneticPr fontId="15" type="noConversion"/>
  </si>
  <si>
    <r>
      <rPr>
        <sz val="8"/>
        <color theme="1"/>
        <rFont val="맑은 고딕"/>
        <family val="3"/>
        <charset val="129"/>
      </rPr>
      <t>뷰티프로필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계정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설정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변경</t>
    </r>
    <phoneticPr fontId="15" type="noConversion"/>
  </si>
  <si>
    <t>마이페이지 홈</t>
    <phoneticPr fontId="15" type="noConversion"/>
  </si>
  <si>
    <r>
      <rPr>
        <sz val="8"/>
        <color theme="1"/>
        <rFont val="맑은 고딕"/>
        <family val="2"/>
        <charset val="129"/>
      </rPr>
      <t>사용자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프로필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페이지</t>
    </r>
    <phoneticPr fontId="15" type="noConversion"/>
  </si>
  <si>
    <r>
      <rPr>
        <sz val="8"/>
        <color theme="1"/>
        <rFont val="맑은 고딕"/>
        <family val="3"/>
        <charset val="129"/>
      </rPr>
      <t>팔로잉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팔로워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목록</t>
    </r>
    <r>
      <rPr>
        <sz val="8"/>
        <color theme="1"/>
        <rFont val="Calibri"/>
        <family val="3"/>
      </rPr>
      <t xml:space="preserve"> UI</t>
    </r>
    <phoneticPr fontId="15" type="noConversion"/>
  </si>
  <si>
    <r>
      <rPr>
        <sz val="8"/>
        <color theme="1"/>
        <rFont val="맑은 고딕"/>
        <family val="3"/>
        <charset val="129"/>
      </rPr>
      <t>작성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좋아요한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리뷰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목록</t>
    </r>
    <phoneticPr fontId="15" type="noConversion"/>
  </si>
  <si>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등록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수정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관리</t>
    </r>
    <r>
      <rPr>
        <sz val="8"/>
        <color theme="1"/>
        <rFont val="Calibri"/>
        <family val="3"/>
      </rPr>
      <t xml:space="preserve"> UI</t>
    </r>
    <phoneticPr fontId="15" type="noConversion"/>
  </si>
  <si>
    <t>추현민</t>
    <phoneticPr fontId="15" type="noConversion"/>
  </si>
  <si>
    <r>
      <t xml:space="preserve">3.1.9 </t>
    </r>
    <r>
      <rPr>
        <b/>
        <sz val="8"/>
        <color theme="1"/>
        <rFont val="맑은 고딕"/>
        <family val="3"/>
        <charset val="129"/>
      </rPr>
      <t>로그인 / 회원관리</t>
    </r>
    <phoneticPr fontId="15" type="noConversion"/>
  </si>
  <si>
    <r>
      <rPr>
        <sz val="8"/>
        <color theme="1"/>
        <rFont val="맑은 고딕"/>
        <family val="3"/>
        <charset val="129"/>
      </rPr>
      <t>로그인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회원가입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폼</t>
    </r>
    <phoneticPr fontId="15" type="noConversion"/>
  </si>
  <si>
    <r>
      <rPr>
        <sz val="8"/>
        <color theme="1"/>
        <rFont val="맑은 고딕"/>
        <family val="3"/>
        <charset val="129"/>
      </rPr>
      <t>아이디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비밀번호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찾기</t>
    </r>
    <phoneticPr fontId="15" type="noConversion"/>
  </si>
  <si>
    <r>
      <rPr>
        <sz val="8"/>
        <color theme="1"/>
        <rFont val="맑은 고딕"/>
        <family val="3"/>
        <charset val="129"/>
      </rPr>
      <t>스킨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프로필</t>
    </r>
    <r>
      <rPr>
        <sz val="8"/>
        <color theme="1"/>
        <rFont val="Calibri"/>
        <family val="3"/>
      </rPr>
      <t>(</t>
    </r>
    <r>
      <rPr>
        <sz val="8"/>
        <color theme="1"/>
        <rFont val="맑은 고딕"/>
        <family val="3"/>
        <charset val="129"/>
      </rPr>
      <t>피부타입</t>
    </r>
    <r>
      <rPr>
        <sz val="8"/>
        <color theme="1"/>
        <rFont val="Calibri"/>
        <family val="3"/>
      </rPr>
      <t xml:space="preserve">) </t>
    </r>
    <r>
      <rPr>
        <sz val="8"/>
        <color theme="1"/>
        <rFont val="맑은 고딕"/>
        <family val="3"/>
        <charset val="129"/>
      </rPr>
      <t>설정</t>
    </r>
    <phoneticPr fontId="15" type="noConversion"/>
  </si>
  <si>
    <r>
      <t xml:space="preserve">3.2 </t>
    </r>
    <r>
      <rPr>
        <b/>
        <sz val="8"/>
        <color theme="1"/>
        <rFont val="맑은 고딕"/>
        <family val="3"/>
        <charset val="129"/>
      </rPr>
      <t>백엔드</t>
    </r>
    <r>
      <rPr>
        <b/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맑은 고딕"/>
        <family val="3"/>
        <charset val="129"/>
      </rPr>
      <t>구현</t>
    </r>
    <phoneticPr fontId="15" type="noConversion"/>
  </si>
  <si>
    <t>신태엽, 최승훈</t>
    <phoneticPr fontId="15" type="noConversion"/>
  </si>
  <si>
    <r>
      <t xml:space="preserve">5.2 </t>
    </r>
    <r>
      <rPr>
        <b/>
        <sz val="8"/>
        <color theme="1"/>
        <rFont val="맑은 고딕"/>
        <family val="3"/>
        <charset val="129"/>
      </rPr>
      <t>최종</t>
    </r>
    <r>
      <rPr>
        <b/>
        <sz val="8"/>
        <color theme="1"/>
        <rFont val="Calibri"/>
        <family val="3"/>
      </rPr>
      <t xml:space="preserve"> </t>
    </r>
    <r>
      <rPr>
        <b/>
        <sz val="8"/>
        <color theme="1"/>
        <rFont val="맑은 고딕"/>
        <family val="3"/>
        <charset val="129"/>
      </rPr>
      <t>배포</t>
    </r>
    <r>
      <rPr>
        <b/>
        <sz val="8"/>
        <color theme="1"/>
        <rFont val="Calibri"/>
        <family val="3"/>
      </rPr>
      <t xml:space="preserve"> </t>
    </r>
    <r>
      <rPr>
        <b/>
        <sz val="8"/>
        <color theme="1"/>
        <rFont val="맑은 고딕"/>
        <family val="3"/>
        <charset val="129"/>
      </rPr>
      <t>실행</t>
    </r>
    <phoneticPr fontId="15" type="noConversion"/>
  </si>
  <si>
    <r>
      <t xml:space="preserve">4.1 </t>
    </r>
    <r>
      <rPr>
        <b/>
        <sz val="8"/>
        <color theme="1"/>
        <rFont val="맑은 고딕"/>
        <family val="3"/>
        <charset val="129"/>
      </rPr>
      <t>프론트</t>
    </r>
    <r>
      <rPr>
        <b/>
        <sz val="8"/>
        <color theme="1"/>
        <rFont val="Calibri"/>
        <family val="3"/>
      </rPr>
      <t>/</t>
    </r>
    <r>
      <rPr>
        <b/>
        <sz val="8"/>
        <color theme="1"/>
        <rFont val="맑은 고딕"/>
        <family val="3"/>
        <charset val="129"/>
      </rPr>
      <t>백엔드</t>
    </r>
    <r>
      <rPr>
        <b/>
        <sz val="8"/>
        <color theme="1"/>
        <rFont val="Calibri"/>
        <family val="3"/>
      </rPr>
      <t xml:space="preserve"> </t>
    </r>
    <r>
      <rPr>
        <b/>
        <sz val="8"/>
        <color theme="1"/>
        <rFont val="맑은 고딕"/>
        <family val="3"/>
        <charset val="129"/>
      </rPr>
      <t>연동</t>
    </r>
    <phoneticPr fontId="15" type="noConversion"/>
  </si>
  <si>
    <r>
      <t xml:space="preserve">4.1.1 </t>
    </r>
    <r>
      <rPr>
        <sz val="8"/>
        <color theme="1"/>
        <rFont val="맑은 고딕"/>
        <family val="3"/>
        <charset val="129"/>
      </rPr>
      <t>프론트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파일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백엔드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파일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병합</t>
    </r>
    <phoneticPr fontId="15" type="noConversion"/>
  </si>
  <si>
    <r>
      <t xml:space="preserve">4.2.3 </t>
    </r>
    <r>
      <rPr>
        <sz val="8"/>
        <color theme="1"/>
        <rFont val="맑은 고딕"/>
        <family val="3"/>
        <charset val="129"/>
      </rPr>
      <t>회원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주문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리뷰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단위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테스트</t>
    </r>
    <phoneticPr fontId="15" type="noConversion"/>
  </si>
  <si>
    <r>
      <t xml:space="preserve">4.2.2 </t>
    </r>
    <r>
      <rPr>
        <sz val="8"/>
        <color theme="1"/>
        <rFont val="맑은 고딕"/>
        <family val="3"/>
        <charset val="129"/>
      </rPr>
      <t>결제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프로세스</t>
    </r>
    <r>
      <rPr>
        <sz val="8"/>
        <color theme="1"/>
        <rFont val="Calibri"/>
        <family val="3"/>
      </rPr>
      <t xml:space="preserve"> E2E </t>
    </r>
    <r>
      <rPr>
        <sz val="8"/>
        <color theme="1"/>
        <rFont val="맑은 고딕"/>
        <family val="3"/>
        <charset val="129"/>
      </rPr>
      <t>테스트</t>
    </r>
    <phoneticPr fontId="15" type="noConversion"/>
  </si>
  <si>
    <r>
      <t xml:space="preserve">4.2.4 </t>
    </r>
    <r>
      <rPr>
        <sz val="8"/>
        <color theme="1"/>
        <rFont val="맑은 고딕"/>
        <family val="3"/>
        <charset val="129"/>
      </rPr>
      <t>코드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품질</t>
    </r>
    <r>
      <rPr>
        <sz val="8"/>
        <color theme="1"/>
        <rFont val="Calibri"/>
        <family val="3"/>
      </rPr>
      <t xml:space="preserve">(SonarQube) </t>
    </r>
    <r>
      <rPr>
        <sz val="8"/>
        <color theme="1"/>
        <rFont val="맑은 고딕"/>
        <family val="3"/>
        <charset val="129"/>
      </rPr>
      <t>개선</t>
    </r>
    <phoneticPr fontId="15" type="noConversion"/>
  </si>
  <si>
    <r>
      <t xml:space="preserve">4.2.1  </t>
    </r>
    <r>
      <rPr>
        <sz val="8"/>
        <color theme="1"/>
        <rFont val="맑은 고딕"/>
        <family val="3"/>
        <charset val="129"/>
      </rPr>
      <t>통합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테스트</t>
    </r>
    <phoneticPr fontId="15" type="noConversion"/>
  </si>
  <si>
    <r>
      <rPr>
        <sz val="8"/>
        <color theme="1"/>
        <rFont val="맑은 고딕"/>
        <family val="3"/>
        <charset val="129"/>
      </rPr>
      <t>일반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회원가입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로그인</t>
    </r>
    <r>
      <rPr>
        <sz val="8"/>
        <color theme="1"/>
        <rFont val="Calibri"/>
        <family val="3"/>
      </rPr>
      <t xml:space="preserve"> (JWT)</t>
    </r>
    <phoneticPr fontId="15" type="noConversion"/>
  </si>
  <si>
    <r>
      <rPr>
        <sz val="8"/>
        <color theme="1"/>
        <rFont val="맑은 고딕"/>
        <family val="3"/>
        <charset val="129"/>
      </rPr>
      <t>소셜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로그인</t>
    </r>
    <r>
      <rPr>
        <sz val="8"/>
        <color theme="1"/>
        <rFont val="Calibri"/>
        <family val="3"/>
      </rPr>
      <t xml:space="preserve"> (</t>
    </r>
    <r>
      <rPr>
        <sz val="8"/>
        <color theme="1"/>
        <rFont val="맑은 고딕"/>
        <family val="3"/>
        <charset val="129"/>
      </rPr>
      <t>카카오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네이버</t>
    </r>
    <r>
      <rPr>
        <sz val="8"/>
        <color theme="1"/>
        <rFont val="Calibri"/>
        <family val="3"/>
      </rPr>
      <t>)</t>
    </r>
    <phoneticPr fontId="15" type="noConversion"/>
  </si>
  <si>
    <r>
      <rPr>
        <sz val="8"/>
        <color theme="1"/>
        <rFont val="맑은 고딕"/>
        <family val="3"/>
        <charset val="129"/>
      </rPr>
      <t>이메일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인증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중복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확인</t>
    </r>
    <phoneticPr fontId="15" type="noConversion"/>
  </si>
  <si>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목록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조회</t>
    </r>
    <r>
      <rPr>
        <sz val="8"/>
        <color theme="1"/>
        <rFont val="Calibri"/>
        <family val="3"/>
        <charset val="129"/>
        <scheme val="minor"/>
      </rPr>
      <t>/</t>
    </r>
    <r>
      <rPr>
        <sz val="8"/>
        <color theme="1"/>
        <rFont val="맑은 고딕"/>
        <family val="3"/>
        <charset val="129"/>
      </rPr>
      <t>필터링</t>
    </r>
    <r>
      <rPr>
        <sz val="8"/>
        <color theme="1"/>
        <rFont val="Calibri"/>
        <family val="3"/>
        <charset val="129"/>
        <scheme val="minor"/>
      </rPr>
      <t xml:space="preserve"> API</t>
    </r>
    <phoneticPr fontId="15" type="noConversion"/>
  </si>
  <si>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상세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정보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조회</t>
    </r>
    <r>
      <rPr>
        <sz val="8"/>
        <color theme="1"/>
        <rFont val="Calibri"/>
        <family val="3"/>
        <charset val="129"/>
        <scheme val="minor"/>
      </rPr>
      <t xml:space="preserve"> API</t>
    </r>
    <phoneticPr fontId="15" type="noConversion"/>
  </si>
  <si>
    <r>
      <rPr>
        <sz val="8"/>
        <color theme="1"/>
        <rFont val="맑은 고딕"/>
        <family val="3"/>
        <charset val="129"/>
      </rPr>
      <t>검색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엔진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키워드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매핑</t>
    </r>
    <phoneticPr fontId="15" type="noConversion"/>
  </si>
  <si>
    <r>
      <rPr>
        <sz val="8"/>
        <color theme="1"/>
        <rFont val="맑은 고딕"/>
        <family val="3"/>
        <charset val="129"/>
      </rPr>
      <t>리뷰</t>
    </r>
    <r>
      <rPr>
        <sz val="8"/>
        <color theme="1"/>
        <rFont val="Calibri"/>
        <family val="3"/>
        <charset val="129"/>
        <scheme val="minor"/>
      </rPr>
      <t xml:space="preserve"> CRUD API</t>
    </r>
    <phoneticPr fontId="15" type="noConversion"/>
  </si>
  <si>
    <r>
      <rPr>
        <sz val="8"/>
        <color theme="1"/>
        <rFont val="맑은 고딕"/>
        <family val="3"/>
        <charset val="129"/>
      </rPr>
      <t>리뷰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좋아요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정렬</t>
    </r>
    <phoneticPr fontId="15" type="noConversion"/>
  </si>
  <si>
    <r>
      <rPr>
        <sz val="8"/>
        <color theme="1"/>
        <rFont val="맑은 고딕"/>
        <family val="3"/>
        <charset val="129"/>
      </rPr>
      <t>태그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분석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경고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알림</t>
    </r>
    <phoneticPr fontId="15" type="noConversion"/>
  </si>
  <si>
    <r>
      <rPr>
        <sz val="8"/>
        <color theme="1"/>
        <rFont val="맑은 고딕"/>
        <family val="3"/>
        <charset val="129"/>
      </rPr>
      <t>장바구니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담기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수정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삭제</t>
    </r>
    <phoneticPr fontId="15" type="noConversion"/>
  </si>
  <si>
    <r>
      <t xml:space="preserve">3.2.5 </t>
    </r>
    <r>
      <rPr>
        <b/>
        <sz val="8"/>
        <color theme="1"/>
        <rFont val="맑은 고딕"/>
        <family val="3"/>
        <charset val="129"/>
      </rPr>
      <t>주문</t>
    </r>
    <r>
      <rPr>
        <b/>
        <sz val="8"/>
        <color theme="1"/>
        <rFont val="Calibri"/>
        <family val="2"/>
      </rPr>
      <t>/</t>
    </r>
    <r>
      <rPr>
        <b/>
        <sz val="8"/>
        <color theme="1"/>
        <rFont val="맑은 고딕"/>
        <family val="3"/>
        <charset val="129"/>
      </rPr>
      <t>결제</t>
    </r>
    <phoneticPr fontId="15" type="noConversion"/>
  </si>
  <si>
    <r>
      <rPr>
        <sz val="8"/>
        <color theme="1"/>
        <rFont val="맑은 고딕"/>
        <family val="3"/>
        <charset val="129"/>
      </rPr>
      <t>주문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생성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재고</t>
    </r>
    <r>
      <rPr>
        <sz val="8"/>
        <color theme="1"/>
        <rFont val="Calibri"/>
        <family val="3"/>
        <charset val="129"/>
        <scheme val="minor"/>
      </rPr>
      <t xml:space="preserve"> </t>
    </r>
    <r>
      <rPr>
        <sz val="8"/>
        <color theme="1"/>
        <rFont val="맑은 고딕"/>
        <family val="3"/>
        <charset val="129"/>
      </rPr>
      <t>차감</t>
    </r>
    <phoneticPr fontId="15" type="noConversion"/>
  </si>
  <si>
    <r>
      <rPr>
        <sz val="8"/>
        <color theme="1"/>
        <rFont val="맑은 고딕"/>
        <family val="3"/>
        <charset val="129"/>
      </rPr>
      <t>결제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검증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트랜잭션</t>
    </r>
    <phoneticPr fontId="15" type="noConversion"/>
  </si>
  <si>
    <r>
      <rPr>
        <sz val="8"/>
        <color theme="1"/>
        <rFont val="맑은 고딕"/>
        <family val="3"/>
        <charset val="129"/>
      </rPr>
      <t>사용자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프로필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팔로우</t>
    </r>
    <r>
      <rPr>
        <sz val="8"/>
        <color theme="1"/>
        <rFont val="Calibri"/>
        <family val="3"/>
      </rPr>
      <t xml:space="preserve"> API</t>
    </r>
    <phoneticPr fontId="15" type="noConversion"/>
  </si>
  <si>
    <r>
      <rPr>
        <sz val="8"/>
        <color theme="1"/>
        <rFont val="맑은 고딕"/>
        <family val="3"/>
        <charset val="129"/>
      </rPr>
      <t>매칭률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기반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추천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알고리즘</t>
    </r>
    <phoneticPr fontId="15" type="noConversion"/>
  </si>
  <si>
    <t>3.2.6 Co-mate</t>
    <phoneticPr fontId="15" type="noConversion"/>
  </si>
  <si>
    <r>
      <rPr>
        <sz val="8"/>
        <color theme="1"/>
        <rFont val="맑은 고딕"/>
        <family val="3"/>
        <charset val="129"/>
      </rPr>
      <t>내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정보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조회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수정</t>
    </r>
    <r>
      <rPr>
        <sz val="8"/>
        <color theme="1"/>
        <rFont val="Calibri"/>
        <family val="3"/>
      </rPr>
      <t xml:space="preserve"> API</t>
    </r>
    <phoneticPr fontId="15" type="noConversion"/>
  </si>
  <si>
    <r>
      <rPr>
        <sz val="8"/>
        <color theme="1"/>
        <rFont val="맑은 고딕"/>
        <family val="3"/>
        <charset val="129"/>
      </rPr>
      <t>주문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내역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목록</t>
    </r>
    <r>
      <rPr>
        <sz val="8"/>
        <color theme="1"/>
        <rFont val="Calibri"/>
        <family val="3"/>
      </rPr>
      <t>/</t>
    </r>
    <r>
      <rPr>
        <sz val="8"/>
        <color theme="1"/>
        <rFont val="맑은 고딕"/>
        <family val="3"/>
        <charset val="129"/>
      </rPr>
      <t>상세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조회</t>
    </r>
    <phoneticPr fontId="15" type="noConversion"/>
  </si>
  <si>
    <r>
      <rPr>
        <sz val="8"/>
        <color theme="1"/>
        <rFont val="맑은 고딕"/>
        <family val="3"/>
        <charset val="129"/>
      </rPr>
      <t>회원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주문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관리</t>
    </r>
    <r>
      <rPr>
        <sz val="8"/>
        <color theme="1"/>
        <rFont val="Calibri"/>
        <family val="3"/>
      </rPr>
      <t xml:space="preserve"> API</t>
    </r>
    <phoneticPr fontId="15" type="noConversion"/>
  </si>
  <si>
    <t>최승훈, 추현민</t>
    <phoneticPr fontId="15" type="noConversion"/>
  </si>
  <si>
    <r>
      <t xml:space="preserve">4.1.4 </t>
    </r>
    <r>
      <rPr>
        <sz val="8"/>
        <color theme="1"/>
        <rFont val="맑은 고딕"/>
        <family val="3"/>
        <charset val="129"/>
      </rPr>
      <t>환경변수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경로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통합</t>
    </r>
    <phoneticPr fontId="15" type="noConversion"/>
  </si>
  <si>
    <r>
      <t xml:space="preserve">2.2 </t>
    </r>
    <r>
      <rPr>
        <b/>
        <sz val="8"/>
        <color theme="1"/>
        <rFont val="맑은 고딕"/>
        <family val="3"/>
        <charset val="129"/>
      </rPr>
      <t>시스템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맑은 고딕"/>
        <family val="3"/>
        <charset val="129"/>
      </rPr>
      <t>아키텍처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맑은 고딕"/>
        <family val="3"/>
        <charset val="129"/>
      </rPr>
      <t>설계</t>
    </r>
    <phoneticPr fontId="15" type="noConversion"/>
  </si>
  <si>
    <r>
      <t xml:space="preserve">2.2.1 </t>
    </r>
    <r>
      <rPr>
        <sz val="8"/>
        <color theme="1"/>
        <rFont val="맑은 고딕"/>
        <family val="3"/>
        <charset val="129"/>
      </rPr>
      <t>디렉토리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계층구조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정의</t>
    </r>
    <phoneticPr fontId="15" type="noConversion"/>
  </si>
  <si>
    <r>
      <t xml:space="preserve">2.2.2 </t>
    </r>
    <r>
      <rPr>
        <sz val="8"/>
        <color theme="1"/>
        <rFont val="맑은 고딕"/>
        <family val="3"/>
        <charset val="129"/>
      </rPr>
      <t>파일명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네이밍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규칙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정의</t>
    </r>
    <phoneticPr fontId="15" type="noConversion"/>
  </si>
  <si>
    <r>
      <t xml:space="preserve">2.2.3 Usecase </t>
    </r>
    <r>
      <rPr>
        <sz val="8"/>
        <color theme="1"/>
        <rFont val="맑은 고딕"/>
        <family val="3"/>
        <charset val="129"/>
      </rPr>
      <t>설계</t>
    </r>
    <phoneticPr fontId="15" type="noConversion"/>
  </si>
  <si>
    <r>
      <t xml:space="preserve">2.2.4 </t>
    </r>
    <r>
      <rPr>
        <sz val="8"/>
        <color theme="1"/>
        <rFont val="맑은 고딕"/>
        <family val="3"/>
        <charset val="129"/>
      </rPr>
      <t>세부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요구사항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정의</t>
    </r>
    <phoneticPr fontId="15" type="noConversion"/>
  </si>
  <si>
    <r>
      <t xml:space="preserve">2.2.5 Flow Chart </t>
    </r>
    <r>
      <rPr>
        <sz val="8"/>
        <color theme="1"/>
        <rFont val="맑은 고딕"/>
        <family val="3"/>
        <charset val="129"/>
      </rPr>
      <t>설계</t>
    </r>
    <phoneticPr fontId="15" type="noConversion"/>
  </si>
  <si>
    <r>
      <t xml:space="preserve">2.2.6 API </t>
    </r>
    <r>
      <rPr>
        <sz val="8"/>
        <color theme="1"/>
        <rFont val="맑은 고딕"/>
        <family val="3"/>
        <charset val="129"/>
      </rPr>
      <t>설계</t>
    </r>
    <phoneticPr fontId="15" type="noConversion"/>
  </si>
  <si>
    <t>팀원 전체</t>
    <phoneticPr fontId="15" type="noConversion"/>
  </si>
  <si>
    <r>
      <t xml:space="preserve">4.2.5 </t>
    </r>
    <r>
      <rPr>
        <sz val="8"/>
        <color theme="1"/>
        <rFont val="맑은 고딕"/>
        <family val="2"/>
        <charset val="129"/>
      </rPr>
      <t>보안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취약점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점검</t>
    </r>
    <phoneticPr fontId="15" type="noConversion"/>
  </si>
  <si>
    <r>
      <t xml:space="preserve">5.2.3 </t>
    </r>
    <r>
      <rPr>
        <sz val="8"/>
        <color theme="1"/>
        <rFont val="맑은 고딕"/>
        <family val="3"/>
        <charset val="129"/>
      </rPr>
      <t>라이브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서버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모니터링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동작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확인</t>
    </r>
    <phoneticPr fontId="15" type="noConversion"/>
  </si>
  <si>
    <r>
      <t xml:space="preserve">4.3 </t>
    </r>
    <r>
      <rPr>
        <b/>
        <sz val="8"/>
        <color theme="1"/>
        <rFont val="맑은 고딕"/>
        <family val="2"/>
        <charset val="129"/>
      </rPr>
      <t xml:space="preserve">최종 버그 수정 및 </t>
    </r>
    <r>
      <rPr>
        <b/>
        <sz val="8"/>
        <color theme="1"/>
        <rFont val="Calibri"/>
        <family val="2"/>
      </rPr>
      <t xml:space="preserve">QA </t>
    </r>
    <r>
      <rPr>
        <b/>
        <sz val="8"/>
        <color theme="1"/>
        <rFont val="맑은 고딕"/>
        <family val="2"/>
        <charset val="129"/>
      </rPr>
      <t>반영</t>
    </r>
    <phoneticPr fontId="15" type="noConversion"/>
  </si>
  <si>
    <r>
      <t xml:space="preserve">5.1 </t>
    </r>
    <r>
      <rPr>
        <b/>
        <sz val="8"/>
        <color theme="1"/>
        <rFont val="맑은 고딕"/>
        <family val="3"/>
        <charset val="129"/>
      </rPr>
      <t>배포</t>
    </r>
    <r>
      <rPr>
        <b/>
        <sz val="8"/>
        <color theme="1"/>
        <rFont val="Calibri"/>
        <family val="3"/>
      </rPr>
      <t xml:space="preserve"> </t>
    </r>
    <r>
      <rPr>
        <b/>
        <sz val="8"/>
        <color theme="1"/>
        <rFont val="맑은 고딕"/>
        <family val="3"/>
        <charset val="129"/>
      </rPr>
      <t>환경</t>
    </r>
    <r>
      <rPr>
        <b/>
        <sz val="8"/>
        <color theme="1"/>
        <rFont val="Calibri"/>
        <family val="3"/>
      </rPr>
      <t xml:space="preserve"> </t>
    </r>
    <r>
      <rPr>
        <b/>
        <sz val="8"/>
        <color theme="1"/>
        <rFont val="맑은 고딕"/>
        <family val="3"/>
        <charset val="129"/>
      </rPr>
      <t>설정</t>
    </r>
    <r>
      <rPr>
        <b/>
        <sz val="8"/>
        <color theme="1"/>
        <rFont val="Calibri"/>
        <family val="3"/>
      </rPr>
      <t xml:space="preserve"> (</t>
    </r>
    <r>
      <rPr>
        <b/>
        <sz val="8"/>
        <color theme="1"/>
        <rFont val="맑은 고딕"/>
        <family val="3"/>
        <charset val="129"/>
      </rPr>
      <t>빌드</t>
    </r>
    <r>
      <rPr>
        <b/>
        <sz val="8"/>
        <color theme="1"/>
        <rFont val="Calibri"/>
        <family val="3"/>
      </rPr>
      <t>, OS, DB)</t>
    </r>
    <phoneticPr fontId="15" type="noConversion"/>
  </si>
  <si>
    <t>분석/설계</t>
    <phoneticPr fontId="15" type="noConversion"/>
  </si>
  <si>
    <r>
      <t xml:space="preserve">2.1.3 Oracle </t>
    </r>
    <r>
      <rPr>
        <sz val="8"/>
        <color theme="1"/>
        <rFont val="맑은 고딕"/>
        <family val="3"/>
        <charset val="129"/>
      </rPr>
      <t>연동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2"/>
      </rPr>
      <t xml:space="preserve"> JPA </t>
    </r>
    <r>
      <rPr>
        <sz val="8"/>
        <color theme="1"/>
        <rFont val="맑은 고딕"/>
        <family val="3"/>
        <charset val="129"/>
      </rPr>
      <t>설정</t>
    </r>
    <phoneticPr fontId="15" type="noConversion"/>
  </si>
  <si>
    <r>
      <t xml:space="preserve">2.4 UI </t>
    </r>
    <r>
      <rPr>
        <b/>
        <sz val="8"/>
        <color rgb="FF000000"/>
        <rFont val="맑은 고딕"/>
        <family val="3"/>
        <charset val="129"/>
      </rPr>
      <t>및</t>
    </r>
    <r>
      <rPr>
        <b/>
        <sz val="8"/>
        <color rgb="FF000000"/>
        <rFont val="Calibri"/>
        <family val="2"/>
        <scheme val="minor"/>
      </rPr>
      <t xml:space="preserve"> </t>
    </r>
    <r>
      <rPr>
        <b/>
        <sz val="8"/>
        <color rgb="FF000000"/>
        <rFont val="맑은 고딕"/>
        <family val="3"/>
        <charset val="129"/>
      </rPr>
      <t>레이아웃</t>
    </r>
    <r>
      <rPr>
        <b/>
        <sz val="8"/>
        <color rgb="FF000000"/>
        <rFont val="Calibri"/>
        <family val="2"/>
        <scheme val="minor"/>
      </rPr>
      <t xml:space="preserve"> </t>
    </r>
    <r>
      <rPr>
        <b/>
        <sz val="8"/>
        <color rgb="FF000000"/>
        <rFont val="맑은 고딕"/>
        <family val="3"/>
        <charset val="129"/>
      </rPr>
      <t>설계</t>
    </r>
    <r>
      <rPr>
        <b/>
        <sz val="8"/>
        <color rgb="FF000000"/>
        <rFont val="Calibri"/>
        <family val="2"/>
        <scheme val="minor"/>
      </rPr>
      <t xml:space="preserve">  (</t>
    </r>
    <r>
      <rPr>
        <b/>
        <sz val="8"/>
        <color rgb="FF000000"/>
        <rFont val="맑은 고딕"/>
        <family val="2"/>
        <charset val="129"/>
      </rPr>
      <t>와이어프레임</t>
    </r>
    <r>
      <rPr>
        <b/>
        <sz val="8"/>
        <color rgb="FF000000"/>
        <rFont val="Calibri"/>
        <family val="2"/>
        <scheme val="minor"/>
      </rPr>
      <t xml:space="preserve"> </t>
    </r>
    <r>
      <rPr>
        <b/>
        <sz val="8"/>
        <color rgb="FF000000"/>
        <rFont val="맑은 고딕"/>
        <family val="2"/>
        <charset val="129"/>
      </rPr>
      <t>작성</t>
    </r>
    <r>
      <rPr>
        <b/>
        <sz val="8"/>
        <color rgb="FF000000"/>
        <rFont val="Calibri"/>
        <family val="2"/>
        <scheme val="minor"/>
      </rPr>
      <t>)</t>
    </r>
    <phoneticPr fontId="15" type="noConversion"/>
  </si>
  <si>
    <r>
      <rPr>
        <sz val="9"/>
        <color theme="1"/>
        <rFont val="맑은 고딕"/>
        <family val="2"/>
        <charset val="129"/>
      </rPr>
      <t>팀원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맑은 고딕"/>
        <family val="2"/>
        <charset val="129"/>
      </rPr>
      <t>전체</t>
    </r>
    <phoneticPr fontId="15" type="noConversion"/>
  </si>
  <si>
    <r>
      <rPr>
        <b/>
        <sz val="8"/>
        <color theme="1"/>
        <rFont val="맑은 고딕"/>
        <family val="3"/>
        <charset val="129"/>
      </rPr>
      <t>1.1 프로젝트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맑은 고딕"/>
        <family val="3"/>
        <charset val="129"/>
      </rPr>
      <t>착수</t>
    </r>
    <r>
      <rPr>
        <b/>
        <sz val="8"/>
        <color theme="1"/>
        <rFont val="Calibri"/>
        <family val="3"/>
      </rPr>
      <t xml:space="preserve"> </t>
    </r>
    <r>
      <rPr>
        <b/>
        <sz val="8"/>
        <color theme="1"/>
        <rFont val="맑은 고딕"/>
        <family val="3"/>
        <charset val="129"/>
      </rPr>
      <t>및 정의</t>
    </r>
    <phoneticPr fontId="15" type="noConversion"/>
  </si>
  <si>
    <t>1.2 개발 환경 및 툴 세팅</t>
    <phoneticPr fontId="15" type="noConversion"/>
  </si>
  <si>
    <t>1.2.1 Notion 페이지 개설 및 템플릿 제작</t>
    <phoneticPr fontId="15" type="noConversion"/>
  </si>
  <si>
    <t>1.2.2 Slack 워크스페이스 개설</t>
    <phoneticPr fontId="15" type="noConversion"/>
  </si>
  <si>
    <t>1.2.3 GitHub 레포지토리 생성 및 초대</t>
    <phoneticPr fontId="15" type="noConversion"/>
  </si>
  <si>
    <r>
      <t xml:space="preserve">1.1.1 </t>
    </r>
    <r>
      <rPr>
        <sz val="8"/>
        <color theme="1"/>
        <rFont val="맑은 고딕"/>
        <family val="3"/>
        <charset val="129"/>
      </rPr>
      <t>주제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탐색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선정</t>
    </r>
    <phoneticPr fontId="15" type="noConversion"/>
  </si>
  <si>
    <r>
      <t xml:space="preserve">1.1.2 </t>
    </r>
    <r>
      <rPr>
        <sz val="8"/>
        <color theme="1"/>
        <rFont val="맑은 고딕"/>
        <family val="3"/>
        <charset val="129"/>
      </rPr>
      <t>프로젝트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기획서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작성</t>
    </r>
    <phoneticPr fontId="15" type="noConversion"/>
  </si>
  <si>
    <r>
      <t xml:space="preserve">1.1.3 </t>
    </r>
    <r>
      <rPr>
        <sz val="8"/>
        <color theme="1"/>
        <rFont val="맑은 고딕"/>
        <family val="3"/>
        <charset val="129"/>
      </rPr>
      <t>프로젝트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착수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보고</t>
    </r>
    <phoneticPr fontId="15" type="noConversion"/>
  </si>
  <si>
    <t>발표</t>
    <phoneticPr fontId="15" type="noConversion"/>
  </si>
  <si>
    <r>
      <rPr>
        <b/>
        <sz val="8"/>
        <color theme="1"/>
        <rFont val="맑은 고딕"/>
        <family val="3"/>
        <charset val="129"/>
      </rPr>
      <t>6.1 프로젝트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맑은 고딕"/>
        <family val="3"/>
        <charset val="129"/>
      </rPr>
      <t>발표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맑은 고딕"/>
        <family val="2"/>
        <charset val="129"/>
      </rPr>
      <t>및</t>
    </r>
    <r>
      <rPr>
        <b/>
        <sz val="8"/>
        <color theme="1"/>
        <rFont val="Calibri"/>
        <family val="2"/>
      </rPr>
      <t xml:space="preserve"> </t>
    </r>
    <r>
      <rPr>
        <b/>
        <sz val="8"/>
        <color theme="1"/>
        <rFont val="맑은 고딕"/>
        <family val="2"/>
        <charset val="129"/>
      </rPr>
      <t>시연</t>
    </r>
    <phoneticPr fontId="15" type="noConversion"/>
  </si>
  <si>
    <r>
      <t xml:space="preserve">5.1.1 </t>
    </r>
    <r>
      <rPr>
        <sz val="8"/>
        <color theme="1"/>
        <rFont val="맑은 고딕"/>
        <family val="2"/>
        <charset val="129"/>
      </rPr>
      <t>빌드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파일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생성</t>
    </r>
    <phoneticPr fontId="15" type="noConversion"/>
  </si>
  <si>
    <r>
      <t xml:space="preserve">5.1.2 </t>
    </r>
    <r>
      <rPr>
        <sz val="8"/>
        <color theme="1"/>
        <rFont val="맑은 고딕"/>
        <family val="2"/>
        <charset val="129"/>
      </rPr>
      <t>서버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환경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설정</t>
    </r>
    <phoneticPr fontId="15" type="noConversion"/>
  </si>
  <si>
    <r>
      <t xml:space="preserve">5.1.4 </t>
    </r>
    <r>
      <rPr>
        <sz val="8"/>
        <color theme="1"/>
        <rFont val="맑은 고딕"/>
        <family val="2"/>
        <charset val="129"/>
      </rPr>
      <t>설정</t>
    </r>
    <r>
      <rPr>
        <sz val="8"/>
        <color theme="1"/>
        <rFont val="Calibri"/>
        <family val="2"/>
      </rPr>
      <t xml:space="preserve">DB </t>
    </r>
    <r>
      <rPr>
        <sz val="8"/>
        <color theme="1"/>
        <rFont val="맑은 고딕"/>
        <family val="2"/>
        <charset val="129"/>
      </rPr>
      <t>초기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데이터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적재</t>
    </r>
    <phoneticPr fontId="15" type="noConversion"/>
  </si>
  <si>
    <r>
      <t xml:space="preserve">5.1.3 application.yml </t>
    </r>
    <r>
      <rPr>
        <sz val="8"/>
        <color theme="1"/>
        <rFont val="맑은 고딕"/>
        <family val="2"/>
        <charset val="129"/>
      </rPr>
      <t>환경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변수</t>
    </r>
    <phoneticPr fontId="15" type="noConversion"/>
  </si>
  <si>
    <t>1차 멘토링</t>
    <phoneticPr fontId="15" type="noConversion"/>
  </si>
  <si>
    <t>2차 멘토링</t>
  </si>
  <si>
    <t>2차 멘토링</t>
    <phoneticPr fontId="15" type="noConversion"/>
  </si>
  <si>
    <t>3차 멘토링</t>
    <phoneticPr fontId="15" type="noConversion"/>
  </si>
  <si>
    <r>
      <rPr>
        <sz val="8"/>
        <color theme="1"/>
        <rFont val="맑은 고딕"/>
        <family val="3"/>
        <charset val="129"/>
      </rPr>
      <t>이벤트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공지사항</t>
    </r>
    <r>
      <rPr>
        <sz val="8"/>
        <color theme="1"/>
        <rFont val="Calibri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목록</t>
    </r>
    <phoneticPr fontId="15" type="noConversion"/>
  </si>
  <si>
    <r>
      <t xml:space="preserve">3.1.10  </t>
    </r>
    <r>
      <rPr>
        <b/>
        <sz val="8"/>
        <color theme="1"/>
        <rFont val="맑은 고딕"/>
        <family val="3"/>
        <charset val="129"/>
      </rPr>
      <t>부가 기능 페이지</t>
    </r>
    <phoneticPr fontId="15" type="noConversion"/>
  </si>
  <si>
    <r>
      <rPr>
        <sz val="8"/>
        <color theme="1"/>
        <rFont val="맑은 고딕"/>
        <family val="3"/>
        <charset val="129"/>
      </rPr>
      <t>상품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카테고리</t>
    </r>
    <r>
      <rPr>
        <sz val="8"/>
        <color theme="1"/>
        <rFont val="Calibri"/>
        <family val="3"/>
      </rPr>
      <t xml:space="preserve"> </t>
    </r>
    <r>
      <rPr>
        <sz val="8"/>
        <color theme="1"/>
        <rFont val="맑은 고딕"/>
        <family val="3"/>
        <charset val="129"/>
      </rPr>
      <t>관리</t>
    </r>
    <r>
      <rPr>
        <sz val="8"/>
        <color theme="1"/>
        <rFont val="Calibri"/>
        <family val="3"/>
      </rPr>
      <t xml:space="preserve"> API</t>
    </r>
    <phoneticPr fontId="15" type="noConversion"/>
  </si>
  <si>
    <r>
      <rPr>
        <sz val="8"/>
        <color theme="1"/>
        <rFont val="맑은 고딕"/>
        <family val="2"/>
        <charset val="129"/>
      </rPr>
      <t>2.3.1 요구사항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기반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데이터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모델링</t>
    </r>
    <phoneticPr fontId="15" type="noConversion"/>
  </si>
  <si>
    <r>
      <rPr>
        <sz val="8"/>
        <color theme="1"/>
        <rFont val="맑은 고딕"/>
        <family val="2"/>
        <charset val="129"/>
      </rPr>
      <t>2.3.2 논리적</t>
    </r>
    <r>
      <rPr>
        <sz val="8"/>
        <color theme="1"/>
        <rFont val="Calibri"/>
        <family val="2"/>
        <charset val="129"/>
      </rPr>
      <t xml:space="preserve"> ERD </t>
    </r>
    <r>
      <rPr>
        <sz val="8"/>
        <color theme="1"/>
        <rFont val="맑은 고딕"/>
        <family val="2"/>
        <charset val="129"/>
      </rPr>
      <t>설계</t>
    </r>
    <phoneticPr fontId="15" type="noConversion"/>
  </si>
  <si>
    <r>
      <rPr>
        <sz val="8"/>
        <color theme="1"/>
        <rFont val="맑은 고딕"/>
        <family val="2"/>
        <charset val="129"/>
      </rPr>
      <t>2.3.3 물리적</t>
    </r>
    <r>
      <rPr>
        <sz val="8"/>
        <color theme="1"/>
        <rFont val="Calibri"/>
        <family val="2"/>
        <charset val="129"/>
      </rPr>
      <t xml:space="preserve"> ERD </t>
    </r>
    <r>
      <rPr>
        <sz val="8"/>
        <color theme="1"/>
        <rFont val="맑은 고딕"/>
        <family val="2"/>
        <charset val="129"/>
      </rPr>
      <t>설계</t>
    </r>
    <r>
      <rPr>
        <sz val="8"/>
        <color theme="1"/>
        <rFont val="Calibri"/>
        <family val="2"/>
        <charset val="129"/>
      </rPr>
      <t xml:space="preserve"> </t>
    </r>
    <r>
      <rPr>
        <sz val="8"/>
        <color theme="1"/>
        <rFont val="맑은 고딕"/>
        <family val="2"/>
        <charset val="129"/>
      </rPr>
      <t>및</t>
    </r>
    <r>
      <rPr>
        <sz val="8"/>
        <color theme="1"/>
        <rFont val="Calibri"/>
        <family val="2"/>
        <charset val="129"/>
      </rPr>
      <t xml:space="preserve"> </t>
    </r>
    <r>
      <rPr>
        <sz val="8"/>
        <color theme="1"/>
        <rFont val="맑은 고딕"/>
        <family val="2"/>
        <charset val="129"/>
      </rPr>
      <t>정규화</t>
    </r>
    <phoneticPr fontId="15" type="noConversion"/>
  </si>
  <si>
    <r>
      <t xml:space="preserve">2.3.4 DDL(Create Table) </t>
    </r>
    <r>
      <rPr>
        <sz val="8"/>
        <color theme="1"/>
        <rFont val="맑은 고딕"/>
        <family val="2"/>
        <charset val="129"/>
      </rPr>
      <t>스크립트</t>
    </r>
    <r>
      <rPr>
        <sz val="8"/>
        <color theme="1"/>
        <rFont val="Calibri"/>
        <family val="2"/>
        <charset val="129"/>
      </rPr>
      <t xml:space="preserve"> </t>
    </r>
    <r>
      <rPr>
        <sz val="8"/>
        <color theme="1"/>
        <rFont val="맑은 고딕"/>
        <family val="2"/>
        <charset val="129"/>
      </rPr>
      <t>작성</t>
    </r>
    <phoneticPr fontId="15" type="noConversion"/>
  </si>
  <si>
    <r>
      <rPr>
        <sz val="8"/>
        <color theme="1"/>
        <rFont val="맑은 고딕"/>
        <family val="2"/>
        <charset val="129"/>
      </rPr>
      <t>2.4.1 메인</t>
    </r>
    <r>
      <rPr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맑은 고딕"/>
        <family val="2"/>
        <charset val="129"/>
      </rPr>
      <t>페이지</t>
    </r>
    <r>
      <rPr>
        <sz val="8"/>
        <color theme="1"/>
        <rFont val="Calibri"/>
        <family val="2"/>
        <scheme val="minor"/>
      </rPr>
      <t xml:space="preserve"> UI </t>
    </r>
    <r>
      <rPr>
        <sz val="8"/>
        <color theme="1"/>
        <rFont val="맑은 고딕"/>
        <family val="2"/>
        <charset val="129"/>
      </rPr>
      <t>설계</t>
    </r>
    <phoneticPr fontId="15" type="noConversion"/>
  </si>
  <si>
    <r>
      <rPr>
        <sz val="8"/>
        <color theme="1"/>
        <rFont val="맑은 고딕"/>
        <family val="2"/>
        <charset val="129"/>
      </rPr>
      <t>2.4.2 상품</t>
    </r>
    <r>
      <rPr>
        <sz val="8"/>
        <color theme="1"/>
        <rFont val="Calibri"/>
        <family val="2"/>
        <charset val="129"/>
        <scheme val="minor"/>
      </rPr>
      <t>(</t>
    </r>
    <r>
      <rPr>
        <sz val="8"/>
        <color theme="1"/>
        <rFont val="맑은 고딕"/>
        <family val="2"/>
        <charset val="129"/>
      </rPr>
      <t>목록</t>
    </r>
    <r>
      <rPr>
        <sz val="8"/>
        <color theme="1"/>
        <rFont val="Calibri"/>
        <family val="2"/>
        <charset val="129"/>
        <scheme val="minor"/>
      </rPr>
      <t>/</t>
    </r>
    <r>
      <rPr>
        <sz val="8"/>
        <color theme="1"/>
        <rFont val="맑은 고딕"/>
        <family val="2"/>
        <charset val="129"/>
      </rPr>
      <t>상세</t>
    </r>
    <r>
      <rPr>
        <sz val="8"/>
        <color theme="1"/>
        <rFont val="Calibri"/>
        <family val="2"/>
        <charset val="129"/>
        <scheme val="minor"/>
      </rPr>
      <t xml:space="preserve">) </t>
    </r>
    <r>
      <rPr>
        <sz val="8"/>
        <color theme="1"/>
        <rFont val="맑은 고딕"/>
        <family val="2"/>
        <charset val="129"/>
      </rPr>
      <t>페이지</t>
    </r>
    <r>
      <rPr>
        <sz val="8"/>
        <color theme="1"/>
        <rFont val="Calibri"/>
        <family val="2"/>
        <charset val="129"/>
        <scheme val="minor"/>
      </rPr>
      <t xml:space="preserve"> UI </t>
    </r>
    <r>
      <rPr>
        <sz val="8"/>
        <color theme="1"/>
        <rFont val="맑은 고딕"/>
        <family val="2"/>
        <charset val="129"/>
      </rPr>
      <t>설계</t>
    </r>
    <phoneticPr fontId="15" type="noConversion"/>
  </si>
  <si>
    <r>
      <rPr>
        <sz val="8"/>
        <color theme="1"/>
        <rFont val="맑은 고딕"/>
        <family val="3"/>
        <charset val="129"/>
      </rPr>
      <t>2.4.3 리뷰</t>
    </r>
    <r>
      <rPr>
        <sz val="8"/>
        <color theme="1"/>
        <rFont val="Calibri"/>
        <family val="3"/>
      </rPr>
      <t xml:space="preserve">  UI </t>
    </r>
    <r>
      <rPr>
        <sz val="8"/>
        <color theme="1"/>
        <rFont val="맑은 고딕"/>
        <family val="3"/>
        <charset val="129"/>
      </rPr>
      <t>설계</t>
    </r>
    <phoneticPr fontId="15" type="noConversion"/>
  </si>
  <si>
    <r>
      <rPr>
        <sz val="8"/>
        <color theme="1"/>
        <rFont val="맑은 고딕"/>
        <family val="3"/>
        <charset val="129"/>
      </rPr>
      <t>2.4.4 장바구니/마이페이지</t>
    </r>
    <r>
      <rPr>
        <sz val="8"/>
        <color theme="1"/>
        <rFont val="Calibri"/>
        <family val="2"/>
        <scheme val="minor"/>
      </rPr>
      <t xml:space="preserve"> UI </t>
    </r>
    <r>
      <rPr>
        <sz val="8"/>
        <color theme="1"/>
        <rFont val="맑은 고딕"/>
        <family val="3"/>
        <charset val="129"/>
      </rPr>
      <t>설계</t>
    </r>
    <phoneticPr fontId="15" type="noConversion"/>
  </si>
  <si>
    <r>
      <rPr>
        <sz val="8"/>
        <color theme="1"/>
        <rFont val="맑은 고딕"/>
        <family val="3"/>
        <charset val="129"/>
      </rPr>
      <t>2.4.5 주문</t>
    </r>
    <r>
      <rPr>
        <sz val="8"/>
        <color theme="1"/>
        <rFont val="Calibri"/>
        <family val="2"/>
        <scheme val="major"/>
      </rPr>
      <t>/</t>
    </r>
    <r>
      <rPr>
        <sz val="8"/>
        <color theme="1"/>
        <rFont val="맑은 고딕"/>
        <family val="3"/>
        <charset val="129"/>
      </rPr>
      <t>결제</t>
    </r>
    <r>
      <rPr>
        <sz val="8"/>
        <color theme="1"/>
        <rFont val="Calibri"/>
        <family val="2"/>
        <scheme val="major"/>
      </rPr>
      <t xml:space="preserve"> </t>
    </r>
    <r>
      <rPr>
        <sz val="8"/>
        <color theme="1"/>
        <rFont val="맑은 고딕"/>
        <family val="3"/>
        <charset val="129"/>
      </rPr>
      <t>페이지</t>
    </r>
    <r>
      <rPr>
        <sz val="8"/>
        <color theme="1"/>
        <rFont val="Calibri"/>
        <family val="2"/>
        <scheme val="major"/>
      </rPr>
      <t xml:space="preserve"> UI </t>
    </r>
    <r>
      <rPr>
        <sz val="8"/>
        <color theme="1"/>
        <rFont val="맑은 고딕"/>
        <family val="3"/>
        <charset val="129"/>
      </rPr>
      <t>설계</t>
    </r>
    <phoneticPr fontId="15" type="noConversion"/>
  </si>
  <si>
    <r>
      <rPr>
        <sz val="8"/>
        <color theme="1"/>
        <rFont val="맑은 고딕"/>
        <family val="2"/>
        <charset val="129"/>
      </rPr>
      <t>2.4.7 로그인</t>
    </r>
    <r>
      <rPr>
        <sz val="8"/>
        <color theme="1"/>
        <rFont val="Calibri"/>
        <family val="2"/>
      </rPr>
      <t>/</t>
    </r>
    <r>
      <rPr>
        <sz val="8"/>
        <color theme="1"/>
        <rFont val="맑은 고딕"/>
        <family val="2"/>
        <charset val="129"/>
      </rPr>
      <t>회원가입</t>
    </r>
    <r>
      <rPr>
        <sz val="8"/>
        <color theme="1"/>
        <rFont val="Calibri"/>
        <family val="2"/>
      </rPr>
      <t xml:space="preserve"> UI </t>
    </r>
    <r>
      <rPr>
        <sz val="8"/>
        <color theme="1"/>
        <rFont val="맑은 고딕"/>
        <family val="2"/>
        <charset val="129"/>
      </rPr>
      <t>설계</t>
    </r>
    <phoneticPr fontId="15" type="noConversion"/>
  </si>
  <si>
    <r>
      <rPr>
        <sz val="8"/>
        <color theme="1"/>
        <rFont val="맑은 고딕"/>
        <family val="2"/>
        <charset val="129"/>
      </rPr>
      <t>2.4.6 관리자</t>
    </r>
    <r>
      <rPr>
        <sz val="8"/>
        <color theme="1"/>
        <rFont val="Calibri"/>
        <family val="2"/>
      </rPr>
      <t xml:space="preserve"> </t>
    </r>
    <r>
      <rPr>
        <sz val="8"/>
        <color theme="1"/>
        <rFont val="맑은 고딕"/>
        <family val="2"/>
        <charset val="129"/>
      </rPr>
      <t>페이지</t>
    </r>
    <r>
      <rPr>
        <sz val="8"/>
        <color theme="1"/>
        <rFont val="Calibri"/>
        <family val="2"/>
      </rPr>
      <t xml:space="preserve"> UI </t>
    </r>
    <r>
      <rPr>
        <sz val="8"/>
        <color theme="1"/>
        <rFont val="맑은 고딕"/>
        <family val="2"/>
        <charset val="129"/>
      </rPr>
      <t>설계</t>
    </r>
    <phoneticPr fontId="15" type="noConversion"/>
  </si>
  <si>
    <t>메인페이지</t>
    <phoneticPr fontId="15" type="noConversion"/>
  </si>
  <si>
    <t>팀원 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</si>
</sst>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/&quot;d"/>
    <numFmt numFmtId="177" formatCode="yyyy\-mm\-dd"/>
    <numFmt numFmtId="178" formatCode="General&quot;일&quot;"/>
  </numFmts>
  <fonts count="32">
    <font>
      <sz val="11"/>
      <color theme="1"/>
      <name val="Calibri"/>
      <scheme val="minor"/>
    </font>
    <font>
      <b/>
      <sz val="10"/>
      <color rgb="FF0070C0"/>
      <name val="Malgun Gothic"/>
      <family val="3"/>
      <charset val="129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8"/>
      <color theme="1"/>
      <name val="맑은 고딕"/>
      <family val="2"/>
      <charset val="129"/>
    </font>
    <font>
      <b/>
      <sz val="8"/>
      <color theme="1"/>
      <name val="맑은 고딕"/>
      <family val="3"/>
      <charset val="129"/>
    </font>
    <font>
      <b/>
      <sz val="8"/>
      <color theme="1"/>
      <name val="Calibri"/>
      <family val="3"/>
      <charset val="129"/>
    </font>
    <font>
      <sz val="9"/>
      <color theme="1"/>
      <name val="맑은 고딕"/>
      <family val="2"/>
      <charset val="129"/>
    </font>
    <font>
      <sz val="8"/>
      <color theme="1"/>
      <name val="맑은 고딕"/>
      <family val="3"/>
      <charset val="129"/>
    </font>
    <font>
      <sz val="8"/>
      <color theme="1"/>
      <name val="Calibri"/>
      <family val="3"/>
      <charset val="129"/>
    </font>
    <font>
      <sz val="8"/>
      <color theme="1"/>
      <name val="맑은 고딕"/>
      <family val="2"/>
      <charset val="129"/>
    </font>
    <font>
      <sz val="8"/>
      <color theme="1"/>
      <name val="Calibri"/>
      <family val="2"/>
      <charset val="129"/>
    </font>
    <font>
      <sz val="8"/>
      <color theme="1"/>
      <name val="Calibri"/>
      <family val="2"/>
      <charset val="129"/>
      <scheme val="minor"/>
    </font>
    <font>
      <sz val="8"/>
      <color theme="1"/>
      <name val="Calibri"/>
      <family val="3"/>
      <charset val="129"/>
      <scheme val="minor"/>
    </font>
    <font>
      <sz val="8"/>
      <color theme="1"/>
      <name val="Calibri"/>
      <family val="3"/>
    </font>
    <font>
      <b/>
      <sz val="8"/>
      <color theme="1"/>
      <name val="Calibri"/>
      <family val="3"/>
    </font>
    <font>
      <sz val="9"/>
      <color theme="1"/>
      <name val="Calibri"/>
      <family val="2"/>
      <charset val="129"/>
    </font>
    <font>
      <b/>
      <sz val="8"/>
      <color rgb="FF000000"/>
      <name val="맑은 고딕"/>
      <family val="2"/>
      <charset val="129"/>
    </font>
    <font>
      <b/>
      <sz val="8"/>
      <color rgb="FF000000"/>
      <name val="맑은 고딕"/>
      <family val="3"/>
      <charset val="129"/>
    </font>
    <font>
      <sz val="8"/>
      <color theme="1"/>
      <name val="Calibri"/>
      <family val="2"/>
      <scheme val="major"/>
    </font>
  </fonts>
  <fills count="32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EFEFEF"/>
      </patternFill>
    </fill>
    <fill>
      <patternFill patternType="solid">
        <fgColor rgb="FFFBE4D5"/>
        <bgColor rgb="FFB7B7B7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rgb="FFFCE4D6"/>
        <bgColor rgb="FFD9EAD3"/>
      </patternFill>
    </fill>
    <fill>
      <patternFill patternType="solid">
        <fgColor rgb="FFDDEBF7"/>
        <bgColor rgb="FFFF9900"/>
      </patternFill>
    </fill>
    <fill>
      <patternFill patternType="solid">
        <fgColor rgb="FFE1D5E7"/>
        <bgColor indexed="64"/>
      </patternFill>
    </fill>
    <fill>
      <patternFill patternType="solid">
        <fgColor rgb="FFE2EFDA"/>
        <bgColor rgb="FFFF9900"/>
      </patternFill>
    </fill>
    <fill>
      <patternFill patternType="solid">
        <fgColor rgb="FFDDEBF7"/>
        <bgColor rgb="FFB7B7B7"/>
      </patternFill>
    </fill>
    <fill>
      <patternFill patternType="solid">
        <fgColor rgb="FFDDEBF7"/>
        <bgColor rgb="FFFCE5CD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F9900"/>
      </patternFill>
    </fill>
    <fill>
      <patternFill patternType="solid">
        <fgColor rgb="FFFFCC00"/>
        <bgColor indexed="64"/>
      </patternFill>
    </fill>
    <fill>
      <patternFill patternType="solid">
        <fgColor rgb="FFFFCC0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00"/>
        <bgColor rgb="FFFFFFFF"/>
      </patternFill>
    </fill>
    <fill>
      <patternFill patternType="solid">
        <fgColor rgb="FFDDEBF7"/>
        <bgColor indexed="64"/>
      </patternFill>
    </fill>
    <fill>
      <patternFill patternType="solid">
        <fgColor rgb="FFFADBD8"/>
        <bgColor rgb="FFFF9900"/>
      </patternFill>
    </fill>
    <fill>
      <patternFill patternType="solid">
        <fgColor rgb="FFFFD966"/>
        <bgColor rgb="FFFF9900"/>
      </patternFill>
    </fill>
    <fill>
      <patternFill patternType="solid">
        <fgColor rgb="FFBFBFBF"/>
        <bgColor rgb="FFD9D9D9"/>
      </patternFill>
    </fill>
    <fill>
      <patternFill patternType="solid">
        <fgColor rgb="FFBFBFBF"/>
        <bgColor rgb="FFCCCCCC"/>
      </patternFill>
    </fill>
    <fill>
      <patternFill patternType="solid">
        <fgColor rgb="FFBFBFB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8">
    <xf numFmtId="0" fontId="0" fillId="0" borderId="0" xfId="0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9" fontId="9" fillId="0" borderId="1" xfId="0" applyNumberFormat="1" applyFont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22" borderId="1" xfId="0" applyFont="1" applyFill="1" applyBorder="1" applyAlignment="1">
      <alignment vertical="center"/>
    </xf>
    <xf numFmtId="0" fontId="9" fillId="23" borderId="1" xfId="0" applyFont="1" applyFill="1" applyBorder="1" applyAlignment="1">
      <alignment vertical="center"/>
    </xf>
    <xf numFmtId="0" fontId="22" fillId="2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21" fillId="13" borderId="1" xfId="0" applyFont="1" applyFill="1" applyBorder="1" applyAlignment="1">
      <alignment vertical="center" wrapText="1"/>
    </xf>
    <xf numFmtId="9" fontId="9" fillId="12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0" fontId="17" fillId="14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/>
    </xf>
    <xf numFmtId="0" fontId="20" fillId="13" borderId="1" xfId="0" applyFont="1" applyFill="1" applyBorder="1" applyAlignment="1">
      <alignment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vertical="center"/>
    </xf>
    <xf numFmtId="0" fontId="9" fillId="20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left" vertical="center" wrapText="1"/>
    </xf>
    <xf numFmtId="0" fontId="23" fillId="21" borderId="1" xfId="0" applyFont="1" applyFill="1" applyBorder="1" applyAlignment="1">
      <alignment horizontal="left" vertical="center" wrapText="1"/>
    </xf>
    <xf numFmtId="0" fontId="24" fillId="20" borderId="1" xfId="0" applyFont="1" applyFill="1" applyBorder="1" applyAlignment="1">
      <alignment vertical="center"/>
    </xf>
    <xf numFmtId="0" fontId="28" fillId="2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/>
    </xf>
    <xf numFmtId="0" fontId="23" fillId="6" borderId="1" xfId="0" applyFont="1" applyFill="1" applyBorder="1" applyAlignment="1">
      <alignment vertical="center"/>
    </xf>
    <xf numFmtId="0" fontId="14" fillId="15" borderId="1" xfId="0" applyFont="1" applyFill="1" applyBorder="1" applyAlignment="1">
      <alignment vertical="center"/>
    </xf>
    <xf numFmtId="0" fontId="14" fillId="19" borderId="1" xfId="0" applyFont="1" applyFill="1" applyBorder="1" applyAlignment="1">
      <alignment vertical="center"/>
    </xf>
    <xf numFmtId="0" fontId="8" fillId="19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center" wrapText="1"/>
    </xf>
    <xf numFmtId="177" fontId="9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center" vertical="center"/>
    </xf>
    <xf numFmtId="177" fontId="9" fillId="7" borderId="1" xfId="0" applyNumberFormat="1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vertical="center"/>
    </xf>
    <xf numFmtId="0" fontId="8" fillId="16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14" fontId="9" fillId="2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12" borderId="0" xfId="0" applyFill="1" applyAlignment="1">
      <alignment vertical="center"/>
    </xf>
    <xf numFmtId="0" fontId="9" fillId="25" borderId="1" xfId="0" applyFont="1" applyFill="1" applyBorder="1" applyAlignment="1">
      <alignment vertical="center"/>
    </xf>
    <xf numFmtId="0" fontId="22" fillId="22" borderId="1" xfId="0" applyFont="1" applyFill="1" applyBorder="1" applyAlignment="1">
      <alignment horizontal="center" vertical="center"/>
    </xf>
    <xf numFmtId="0" fontId="18" fillId="14" borderId="4" xfId="0" applyFont="1" applyFill="1" applyBorder="1" applyAlignment="1">
      <alignment vertical="center" wrapText="1"/>
    </xf>
    <xf numFmtId="9" fontId="9" fillId="0" borderId="4" xfId="0" applyNumberFormat="1" applyFont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/>
    </xf>
    <xf numFmtId="177" fontId="9" fillId="2" borderId="4" xfId="0" applyNumberFormat="1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vertical="center"/>
    </xf>
    <xf numFmtId="0" fontId="9" fillId="22" borderId="4" xfId="0" applyFont="1" applyFill="1" applyBorder="1" applyAlignment="1">
      <alignment vertical="center"/>
    </xf>
    <xf numFmtId="0" fontId="9" fillId="23" borderId="4" xfId="0" applyFont="1" applyFill="1" applyBorder="1" applyAlignment="1">
      <alignment vertical="center"/>
    </xf>
    <xf numFmtId="0" fontId="9" fillId="0" borderId="4" xfId="0" applyFont="1" applyBorder="1" applyAlignment="1">
      <alignment vertical="center"/>
    </xf>
    <xf numFmtId="0" fontId="22" fillId="24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20" fillId="13" borderId="9" xfId="0" applyFont="1" applyFill="1" applyBorder="1" applyAlignment="1">
      <alignment vertical="center" wrapText="1"/>
    </xf>
    <xf numFmtId="9" fontId="9" fillId="0" borderId="9" xfId="0" applyNumberFormat="1" applyFont="1" applyBorder="1" applyAlignment="1">
      <alignment horizontal="center" vertical="center"/>
    </xf>
    <xf numFmtId="178" fontId="10" fillId="2" borderId="9" xfId="0" applyNumberFormat="1" applyFont="1" applyFill="1" applyBorder="1" applyAlignment="1">
      <alignment horizontal="center" vertical="center"/>
    </xf>
    <xf numFmtId="177" fontId="9" fillId="2" borderId="9" xfId="0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7" borderId="9" xfId="0" applyFont="1" applyFill="1" applyBorder="1" applyAlignment="1">
      <alignment vertical="center"/>
    </xf>
    <xf numFmtId="0" fontId="22" fillId="24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9" fillId="8" borderId="4" xfId="0" applyFont="1" applyFill="1" applyBorder="1" applyAlignment="1">
      <alignment vertical="center"/>
    </xf>
    <xf numFmtId="0" fontId="9" fillId="25" borderId="4" xfId="0" applyFont="1" applyFill="1" applyBorder="1" applyAlignment="1">
      <alignment vertical="center"/>
    </xf>
    <xf numFmtId="0" fontId="23" fillId="6" borderId="9" xfId="0" applyFont="1" applyFill="1" applyBorder="1" applyAlignment="1">
      <alignment vertical="center"/>
    </xf>
    <xf numFmtId="0" fontId="9" fillId="6" borderId="9" xfId="0" applyFont="1" applyFill="1" applyBorder="1" applyAlignment="1">
      <alignment vertical="center"/>
    </xf>
    <xf numFmtId="0" fontId="9" fillId="11" borderId="9" xfId="0" applyFont="1" applyFill="1" applyBorder="1" applyAlignment="1">
      <alignment vertical="center"/>
    </xf>
    <xf numFmtId="0" fontId="14" fillId="15" borderId="4" xfId="0" applyFont="1" applyFill="1" applyBorder="1" applyAlignment="1">
      <alignment vertical="center"/>
    </xf>
    <xf numFmtId="0" fontId="9" fillId="12" borderId="4" xfId="0" applyFont="1" applyFill="1" applyBorder="1" applyAlignment="1">
      <alignment vertical="center"/>
    </xf>
    <xf numFmtId="0" fontId="8" fillId="16" borderId="4" xfId="0" applyFont="1" applyFill="1" applyBorder="1" applyAlignment="1">
      <alignment horizontal="left" vertical="center" wrapText="1"/>
    </xf>
    <xf numFmtId="0" fontId="28" fillId="2" borderId="4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left" vertical="center" wrapText="1"/>
    </xf>
    <xf numFmtId="0" fontId="28" fillId="2" borderId="9" xfId="0" applyFont="1" applyFill="1" applyBorder="1" applyAlignment="1">
      <alignment horizontal="center" vertical="center"/>
    </xf>
    <xf numFmtId="14" fontId="9" fillId="2" borderId="4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14" fontId="9" fillId="2" borderId="9" xfId="0" applyNumberFormat="1" applyFont="1" applyFill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178" fontId="10" fillId="2" borderId="12" xfId="0" applyNumberFormat="1" applyFont="1" applyFill="1" applyBorder="1" applyAlignment="1">
      <alignment horizontal="center" vertical="center"/>
    </xf>
    <xf numFmtId="177" fontId="9" fillId="2" borderId="12" xfId="0" applyNumberFormat="1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22" fillId="24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176" fontId="8" fillId="3" borderId="9" xfId="0" applyNumberFormat="1" applyFont="1" applyFill="1" applyBorder="1" applyAlignment="1">
      <alignment horizontal="center" vertical="center"/>
    </xf>
    <xf numFmtId="176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8" fillId="26" borderId="1" xfId="0" applyFont="1" applyFill="1" applyBorder="1" applyAlignment="1">
      <alignment vertical="center"/>
    </xf>
    <xf numFmtId="0" fontId="20" fillId="0" borderId="12" xfId="0" applyFont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 indent="1"/>
    </xf>
    <xf numFmtId="0" fontId="12" fillId="7" borderId="1" xfId="0" applyFont="1" applyFill="1" applyBorder="1" applyAlignment="1">
      <alignment horizontal="left" vertical="center" indent="1"/>
    </xf>
    <xf numFmtId="0" fontId="22" fillId="7" borderId="1" xfId="0" applyFont="1" applyFill="1" applyBorder="1" applyAlignment="1">
      <alignment horizontal="left" vertical="center" indent="1"/>
    </xf>
    <xf numFmtId="0" fontId="24" fillId="7" borderId="1" xfId="0" applyFont="1" applyFill="1" applyBorder="1" applyAlignment="1">
      <alignment horizontal="left" vertical="center" indent="1"/>
    </xf>
    <xf numFmtId="0" fontId="21" fillId="7" borderId="1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left" vertical="center" wrapText="1" indent="1"/>
    </xf>
    <xf numFmtId="0" fontId="25" fillId="7" borderId="1" xfId="0" applyFont="1" applyFill="1" applyBorder="1" applyAlignment="1">
      <alignment horizontal="left" vertical="center" indent="1"/>
    </xf>
    <xf numFmtId="0" fontId="21" fillId="7" borderId="1" xfId="0" applyFont="1" applyFill="1" applyBorder="1" applyAlignment="1">
      <alignment horizontal="left" vertical="center" indent="1"/>
    </xf>
    <xf numFmtId="0" fontId="9" fillId="7" borderId="1" xfId="0" applyFont="1" applyFill="1" applyBorder="1" applyAlignment="1">
      <alignment horizontal="left" vertical="center" wrapText="1" indent="1"/>
    </xf>
    <xf numFmtId="0" fontId="23" fillId="7" borderId="1" xfId="0" applyFont="1" applyFill="1" applyBorder="1" applyAlignment="1">
      <alignment horizontal="left" vertical="center" indent="1"/>
    </xf>
    <xf numFmtId="0" fontId="20" fillId="9" borderId="1" xfId="0" applyFont="1" applyFill="1" applyBorder="1" applyAlignment="1">
      <alignment horizontal="left" vertical="center" indent="1"/>
    </xf>
    <xf numFmtId="0" fontId="21" fillId="9" borderId="1" xfId="0" applyFont="1" applyFill="1" applyBorder="1" applyAlignment="1">
      <alignment horizontal="left" vertical="center" wrapText="1" indent="1"/>
    </xf>
    <xf numFmtId="0" fontId="9" fillId="9" borderId="1" xfId="0" applyFont="1" applyFill="1" applyBorder="1" applyAlignment="1">
      <alignment horizontal="left" vertical="center" indent="1"/>
    </xf>
    <xf numFmtId="0" fontId="23" fillId="7" borderId="1" xfId="0" applyFont="1" applyFill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indent="1"/>
    </xf>
    <xf numFmtId="0" fontId="21" fillId="12" borderId="1" xfId="0" applyFont="1" applyFill="1" applyBorder="1" applyAlignment="1">
      <alignment horizontal="left" vertical="center" indent="1"/>
    </xf>
    <xf numFmtId="0" fontId="25" fillId="0" borderId="1" xfId="0" applyFont="1" applyBorder="1" applyAlignment="1">
      <alignment horizontal="left" vertical="center" indent="1"/>
    </xf>
    <xf numFmtId="0" fontId="21" fillId="7" borderId="9" xfId="0" applyFont="1" applyFill="1" applyBorder="1" applyAlignment="1">
      <alignment horizontal="left" vertical="center" indent="1"/>
    </xf>
    <xf numFmtId="0" fontId="8" fillId="17" borderId="4" xfId="0" applyFont="1" applyFill="1" applyBorder="1" applyAlignment="1">
      <alignment vertical="center" wrapText="1"/>
    </xf>
    <xf numFmtId="0" fontId="8" fillId="17" borderId="1" xfId="0" applyFont="1" applyFill="1" applyBorder="1" applyAlignment="1">
      <alignment vertical="center" wrapText="1"/>
    </xf>
    <xf numFmtId="0" fontId="13" fillId="17" borderId="1" xfId="0" applyFont="1" applyFill="1" applyBorder="1" applyAlignment="1">
      <alignment vertical="center"/>
    </xf>
    <xf numFmtId="0" fontId="8" fillId="27" borderId="4" xfId="0" applyFont="1" applyFill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center" wrapText="1"/>
    </xf>
    <xf numFmtId="0" fontId="18" fillId="28" borderId="19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176" fontId="8" fillId="3" borderId="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176" fontId="8" fillId="3" borderId="14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9" fillId="0" borderId="4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29" borderId="1" xfId="0" applyFont="1" applyFill="1" applyBorder="1" applyAlignment="1">
      <alignment horizontal="center" vertical="center"/>
    </xf>
    <xf numFmtId="0" fontId="9" fillId="29" borderId="9" xfId="0" applyFont="1" applyFill="1" applyBorder="1" applyAlignment="1">
      <alignment horizontal="center" vertical="center"/>
    </xf>
    <xf numFmtId="0" fontId="9" fillId="29" borderId="4" xfId="0" applyFont="1" applyFill="1" applyBorder="1" applyAlignment="1">
      <alignment horizontal="center" vertical="center"/>
    </xf>
    <xf numFmtId="0" fontId="9" fillId="29" borderId="12" xfId="0" applyFont="1" applyFill="1" applyBorder="1" applyAlignment="1">
      <alignment horizontal="center" vertical="center"/>
    </xf>
    <xf numFmtId="0" fontId="9" fillId="30" borderId="4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7" fillId="31" borderId="1" xfId="0" applyFont="1" applyFill="1" applyBorder="1" applyAlignment="1">
      <alignment vertical="center"/>
    </xf>
    <xf numFmtId="0" fontId="9" fillId="30" borderId="9" xfId="0" applyFont="1" applyFill="1" applyBorder="1" applyAlignment="1">
      <alignment horizontal="center" vertical="center"/>
    </xf>
    <xf numFmtId="0" fontId="7" fillId="31" borderId="9" xfId="0" applyFont="1" applyFill="1" applyBorder="1" applyAlignment="1">
      <alignment vertical="center"/>
    </xf>
    <xf numFmtId="0" fontId="7" fillId="31" borderId="4" xfId="0" applyFont="1" applyFill="1" applyBorder="1" applyAlignment="1">
      <alignment vertical="center"/>
    </xf>
    <xf numFmtId="0" fontId="9" fillId="30" borderId="12" xfId="0" applyFont="1" applyFill="1" applyBorder="1" applyAlignment="1">
      <alignment horizontal="center" vertical="center"/>
    </xf>
    <xf numFmtId="0" fontId="7" fillId="31" borderId="12" xfId="0" applyFont="1" applyFill="1" applyBorder="1" applyAlignment="1">
      <alignment vertical="center"/>
    </xf>
    <xf numFmtId="0" fontId="9" fillId="0" borderId="4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BFBFBF"/>
      <color rgb="FFFADBD8"/>
      <color rgb="FFD1E8E2"/>
      <color rgb="FFFFD966"/>
      <color rgb="FFE2EFDA"/>
      <color rgb="FFDDEBF7"/>
      <color rgb="FFFBE4D5"/>
      <color rgb="FFFFCC00"/>
      <color rgb="FFE1D5E7"/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137"/>
  <sheetViews>
    <sheetView tabSelected="1" zoomScaleNormal="100" workbookViewId="0">
      <selection activeCell="H111" sqref="H111"/>
    </sheetView>
  </sheetViews>
  <sheetFormatPr defaultColWidth="14.42578125" defaultRowHeight="15" customHeight="1" outlineLevelRow="1"/>
  <cols>
    <col min="1" max="1" width="13.42578125" customWidth="1"/>
    <col min="2" max="2" width="40.5703125" bestFit="1" customWidth="1"/>
    <col min="3" max="3" width="15.42578125" customWidth="1"/>
    <col min="4" max="4" width="4.42578125" customWidth="1"/>
    <col min="5" max="5" width="10.140625" customWidth="1"/>
    <col min="6" max="6" width="16.28515625" customWidth="1"/>
    <col min="7" max="7" width="18.7109375" customWidth="1"/>
    <col min="8" max="8" width="5" customWidth="1"/>
    <col min="9" max="9" width="5.85546875" bestFit="1" customWidth="1"/>
    <col min="10" max="13" width="5.140625" customWidth="1"/>
    <col min="14" max="18" width="5.85546875" bestFit="1" customWidth="1"/>
    <col min="19" max="19" width="9.42578125" bestFit="1" customWidth="1"/>
    <col min="20" max="26" width="4.42578125" customWidth="1"/>
    <col min="27" max="27" width="5.140625" bestFit="1" customWidth="1"/>
    <col min="28" max="37" width="5.85546875" bestFit="1" customWidth="1"/>
    <col min="38" max="39" width="4.85546875" customWidth="1"/>
    <col min="40" max="40" width="9.42578125" bestFit="1" customWidth="1"/>
    <col min="41" max="53" width="4.85546875" customWidth="1"/>
    <col min="54" max="54" width="9.42578125" bestFit="1" customWidth="1"/>
    <col min="55" max="73" width="4.85546875" customWidth="1"/>
  </cols>
  <sheetData>
    <row r="1" spans="1:73" ht="17.25" customHeight="1" thickBot="1">
      <c r="A1" s="44"/>
      <c r="B1" s="45"/>
      <c r="C1" s="46"/>
      <c r="D1" s="45"/>
      <c r="E1" s="45"/>
      <c r="F1" s="47"/>
      <c r="G1" s="46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154"/>
      <c r="AG1" s="155"/>
      <c r="AH1" s="155"/>
      <c r="AI1" s="155"/>
      <c r="AJ1" s="155"/>
      <c r="AK1" s="155"/>
      <c r="AL1" s="155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</row>
    <row r="2" spans="1:73" ht="38.25" customHeight="1" thickBot="1">
      <c r="A2" s="158" t="s">
        <v>0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9"/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9"/>
      <c r="BN2" s="159"/>
      <c r="BO2" s="159"/>
      <c r="BP2" s="159"/>
      <c r="BQ2" s="159"/>
      <c r="BR2" s="159"/>
      <c r="BS2" s="159"/>
      <c r="BT2" s="159"/>
      <c r="BU2" s="160"/>
    </row>
    <row r="3" spans="1:73" ht="26.25" customHeight="1" thickBot="1">
      <c r="A3" s="98" t="s">
        <v>1</v>
      </c>
      <c r="B3" s="99" t="s">
        <v>2</v>
      </c>
      <c r="C3" s="150" t="s">
        <v>3</v>
      </c>
      <c r="D3" s="151"/>
      <c r="E3" s="151"/>
      <c r="F3" s="156" t="s">
        <v>4</v>
      </c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1"/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1"/>
      <c r="BS3" s="151"/>
      <c r="BT3" s="151"/>
      <c r="BU3" s="157"/>
    </row>
    <row r="4" spans="1:73" ht="13.5" customHeight="1">
      <c r="A4" s="152" t="s">
        <v>5</v>
      </c>
      <c r="B4" s="149" t="s">
        <v>6</v>
      </c>
      <c r="C4" s="149" t="s">
        <v>7</v>
      </c>
      <c r="D4" s="149" t="s">
        <v>8</v>
      </c>
      <c r="E4" s="149" t="s">
        <v>9</v>
      </c>
      <c r="F4" s="149" t="s">
        <v>10</v>
      </c>
      <c r="G4" s="149" t="s">
        <v>11</v>
      </c>
      <c r="H4" s="96" t="s">
        <v>12</v>
      </c>
      <c r="I4" s="96" t="s">
        <v>13</v>
      </c>
      <c r="J4" s="96" t="s">
        <v>14</v>
      </c>
      <c r="K4" s="96" t="s">
        <v>15</v>
      </c>
      <c r="L4" s="97" t="s">
        <v>16</v>
      </c>
      <c r="M4" s="97" t="s">
        <v>17</v>
      </c>
      <c r="N4" s="97" t="s">
        <v>18</v>
      </c>
      <c r="O4" s="97" t="s">
        <v>19</v>
      </c>
      <c r="P4" s="97" t="s">
        <v>20</v>
      </c>
      <c r="Q4" s="97" t="s">
        <v>21</v>
      </c>
      <c r="R4" s="97" t="s">
        <v>22</v>
      </c>
      <c r="S4" s="97" t="s">
        <v>23</v>
      </c>
      <c r="T4" s="97" t="s">
        <v>24</v>
      </c>
      <c r="U4" s="97" t="s">
        <v>25</v>
      </c>
      <c r="V4" s="97" t="s">
        <v>26</v>
      </c>
      <c r="W4" s="97" t="s">
        <v>27</v>
      </c>
      <c r="X4" s="97" t="s">
        <v>28</v>
      </c>
      <c r="Y4" s="97" t="s">
        <v>29</v>
      </c>
      <c r="Z4" s="97" t="s">
        <v>30</v>
      </c>
      <c r="AA4" s="97" t="s">
        <v>31</v>
      </c>
      <c r="AB4" s="97" t="s">
        <v>32</v>
      </c>
      <c r="AC4" s="97" t="s">
        <v>33</v>
      </c>
      <c r="AD4" s="97" t="s">
        <v>34</v>
      </c>
      <c r="AE4" s="97" t="s">
        <v>35</v>
      </c>
      <c r="AF4" s="97" t="s">
        <v>36</v>
      </c>
      <c r="AG4" s="97" t="s">
        <v>37</v>
      </c>
      <c r="AH4" s="97" t="s">
        <v>38</v>
      </c>
      <c r="AI4" s="97" t="s">
        <v>39</v>
      </c>
      <c r="AJ4" s="97" t="s">
        <v>40</v>
      </c>
      <c r="AK4" s="97" t="s">
        <v>41</v>
      </c>
      <c r="AL4" s="97" t="s">
        <v>42</v>
      </c>
      <c r="AM4" s="97" t="s">
        <v>43</v>
      </c>
      <c r="AN4" s="97" t="s">
        <v>44</v>
      </c>
      <c r="AO4" s="97" t="s">
        <v>45</v>
      </c>
      <c r="AP4" s="97" t="s">
        <v>46</v>
      </c>
      <c r="AQ4" s="97" t="s">
        <v>47</v>
      </c>
      <c r="AR4" s="97" t="s">
        <v>48</v>
      </c>
      <c r="AS4" s="97" t="s">
        <v>49</v>
      </c>
      <c r="AT4" s="97" t="s">
        <v>50</v>
      </c>
      <c r="AU4" s="97" t="s">
        <v>51</v>
      </c>
      <c r="AV4" s="97" t="s">
        <v>52</v>
      </c>
      <c r="AW4" s="97" t="s">
        <v>53</v>
      </c>
      <c r="AX4" s="97" t="s">
        <v>54</v>
      </c>
      <c r="AY4" s="97" t="s">
        <v>55</v>
      </c>
      <c r="AZ4" s="97" t="s">
        <v>56</v>
      </c>
      <c r="BA4" s="97" t="s">
        <v>57</v>
      </c>
      <c r="BB4" s="97" t="s">
        <v>58</v>
      </c>
      <c r="BC4" s="97" t="s">
        <v>59</v>
      </c>
      <c r="BD4" s="97" t="s">
        <v>60</v>
      </c>
      <c r="BE4" s="97" t="s">
        <v>61</v>
      </c>
      <c r="BF4" s="97" t="s">
        <v>62</v>
      </c>
      <c r="BG4" s="97" t="s">
        <v>63</v>
      </c>
      <c r="BH4" s="97" t="s">
        <v>64</v>
      </c>
      <c r="BI4" s="97" t="s">
        <v>65</v>
      </c>
      <c r="BJ4" s="97" t="s">
        <v>66</v>
      </c>
      <c r="BK4" s="97" t="s">
        <v>67</v>
      </c>
      <c r="BL4" s="97" t="s">
        <v>68</v>
      </c>
      <c r="BM4" s="97" t="s">
        <v>69</v>
      </c>
      <c r="BN4" s="97" t="s">
        <v>70</v>
      </c>
      <c r="BO4" s="97" t="s">
        <v>71</v>
      </c>
      <c r="BP4" s="138" t="s">
        <v>72</v>
      </c>
      <c r="BQ4" s="139"/>
      <c r="BR4" s="139"/>
      <c r="BS4" s="139"/>
      <c r="BT4" s="139"/>
      <c r="BU4" s="140"/>
    </row>
    <row r="5" spans="1:73" ht="13.5" customHeight="1" thickBot="1">
      <c r="A5" s="153"/>
      <c r="B5" s="141"/>
      <c r="C5" s="141"/>
      <c r="D5" s="141"/>
      <c r="E5" s="141"/>
      <c r="F5" s="141"/>
      <c r="G5" s="141"/>
      <c r="H5" s="95">
        <v>45951</v>
      </c>
      <c r="I5" s="95">
        <v>45952</v>
      </c>
      <c r="J5" s="95">
        <v>45953</v>
      </c>
      <c r="K5" s="95">
        <v>45954</v>
      </c>
      <c r="L5" s="95">
        <v>45955</v>
      </c>
      <c r="M5" s="95">
        <v>45956</v>
      </c>
      <c r="N5" s="95">
        <v>45957</v>
      </c>
      <c r="O5" s="95">
        <v>45958</v>
      </c>
      <c r="P5" s="95">
        <v>45959</v>
      </c>
      <c r="Q5" s="95">
        <v>45960</v>
      </c>
      <c r="R5" s="95">
        <v>45961</v>
      </c>
      <c r="S5" s="95">
        <v>45962</v>
      </c>
      <c r="T5" s="95">
        <v>45963</v>
      </c>
      <c r="U5" s="95">
        <v>45964</v>
      </c>
      <c r="V5" s="95">
        <v>45965</v>
      </c>
      <c r="W5" s="95">
        <v>45966</v>
      </c>
      <c r="X5" s="95">
        <v>45967</v>
      </c>
      <c r="Y5" s="95">
        <v>45968</v>
      </c>
      <c r="Z5" s="95">
        <v>45969</v>
      </c>
      <c r="AA5" s="95">
        <v>45970</v>
      </c>
      <c r="AB5" s="95">
        <v>45971</v>
      </c>
      <c r="AC5" s="95">
        <v>45972</v>
      </c>
      <c r="AD5" s="95">
        <v>45973</v>
      </c>
      <c r="AE5" s="95">
        <v>45974</v>
      </c>
      <c r="AF5" s="95">
        <v>45975</v>
      </c>
      <c r="AG5" s="95">
        <v>45976</v>
      </c>
      <c r="AH5" s="95">
        <v>45977</v>
      </c>
      <c r="AI5" s="95">
        <v>45978</v>
      </c>
      <c r="AJ5" s="95">
        <v>45979</v>
      </c>
      <c r="AK5" s="95">
        <v>45980</v>
      </c>
      <c r="AL5" s="95">
        <v>45981</v>
      </c>
      <c r="AM5" s="95">
        <v>45982</v>
      </c>
      <c r="AN5" s="95">
        <v>45983</v>
      </c>
      <c r="AO5" s="95">
        <v>45984</v>
      </c>
      <c r="AP5" s="95">
        <v>45985</v>
      </c>
      <c r="AQ5" s="95">
        <v>45986</v>
      </c>
      <c r="AR5" s="95">
        <v>45987</v>
      </c>
      <c r="AS5" s="95">
        <v>45988</v>
      </c>
      <c r="AT5" s="95">
        <v>45989</v>
      </c>
      <c r="AU5" s="95">
        <v>45990</v>
      </c>
      <c r="AV5" s="95">
        <v>45991</v>
      </c>
      <c r="AW5" s="95">
        <v>45992</v>
      </c>
      <c r="AX5" s="95">
        <v>45993</v>
      </c>
      <c r="AY5" s="95">
        <v>45994</v>
      </c>
      <c r="AZ5" s="95">
        <v>45995</v>
      </c>
      <c r="BA5" s="95">
        <v>45996</v>
      </c>
      <c r="BB5" s="95">
        <v>45997</v>
      </c>
      <c r="BC5" s="95">
        <v>45998</v>
      </c>
      <c r="BD5" s="95">
        <v>45999</v>
      </c>
      <c r="BE5" s="95">
        <v>46000</v>
      </c>
      <c r="BF5" s="95">
        <v>46001</v>
      </c>
      <c r="BG5" s="95">
        <v>46002</v>
      </c>
      <c r="BH5" s="95">
        <v>46003</v>
      </c>
      <c r="BI5" s="95">
        <v>46004</v>
      </c>
      <c r="BJ5" s="95">
        <v>46005</v>
      </c>
      <c r="BK5" s="95">
        <v>46006</v>
      </c>
      <c r="BL5" s="95">
        <v>46007</v>
      </c>
      <c r="BM5" s="95">
        <v>46008</v>
      </c>
      <c r="BN5" s="95">
        <v>46009</v>
      </c>
      <c r="BO5" s="95">
        <v>46010</v>
      </c>
      <c r="BP5" s="141"/>
      <c r="BQ5" s="141"/>
      <c r="BR5" s="141"/>
      <c r="BS5" s="141"/>
      <c r="BT5" s="141"/>
      <c r="BU5" s="142"/>
    </row>
    <row r="6" spans="1:73" ht="17.25" customHeight="1">
      <c r="A6" s="127" t="s">
        <v>110</v>
      </c>
      <c r="B6" s="52" t="s">
        <v>198</v>
      </c>
      <c r="C6" s="53">
        <v>1</v>
      </c>
      <c r="D6" s="54">
        <f>F6-E6+1</f>
        <v>11</v>
      </c>
      <c r="E6" s="55">
        <f>MIN(E7:E9)</f>
        <v>45951</v>
      </c>
      <c r="F6" s="55">
        <f>MAX(F7:F9)</f>
        <v>45961</v>
      </c>
      <c r="G6" s="56" t="s">
        <v>128</v>
      </c>
      <c r="H6" s="57"/>
      <c r="I6" s="58"/>
      <c r="J6" s="58"/>
      <c r="K6" s="58"/>
      <c r="L6" s="58"/>
      <c r="M6" s="58"/>
      <c r="N6" s="59"/>
      <c r="O6" s="177" t="s">
        <v>73</v>
      </c>
      <c r="P6" s="177"/>
      <c r="Q6" s="58"/>
      <c r="R6" s="60"/>
      <c r="S6" s="61" t="s">
        <v>212</v>
      </c>
      <c r="T6" s="60"/>
      <c r="U6" s="60"/>
      <c r="V6" s="60"/>
      <c r="W6" s="60"/>
      <c r="X6" s="60"/>
      <c r="Y6" s="60"/>
      <c r="Z6" s="60"/>
      <c r="AA6" s="60"/>
      <c r="AB6" s="60"/>
      <c r="AC6" s="60"/>
      <c r="AD6" s="169" t="s">
        <v>74</v>
      </c>
      <c r="AE6" s="169"/>
      <c r="AF6" s="169"/>
      <c r="AG6" s="62"/>
      <c r="AH6" s="62"/>
      <c r="AI6" s="62"/>
      <c r="AJ6" s="62"/>
      <c r="AK6" s="62"/>
      <c r="AL6" s="62"/>
      <c r="AM6" s="62"/>
      <c r="AN6" s="61" t="s">
        <v>214</v>
      </c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1" t="s">
        <v>215</v>
      </c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143"/>
      <c r="BQ6" s="143"/>
      <c r="BR6" s="143"/>
      <c r="BS6" s="143"/>
      <c r="BT6" s="143"/>
      <c r="BU6" s="144"/>
    </row>
    <row r="7" spans="1:73" s="49" customFormat="1" ht="17.25" customHeight="1">
      <c r="A7" s="128"/>
      <c r="B7" s="12" t="s">
        <v>203</v>
      </c>
      <c r="C7" s="13">
        <v>1</v>
      </c>
      <c r="D7" s="4">
        <f t="shared" ref="D7:D9" si="0">F7-E7+1</f>
        <v>5</v>
      </c>
      <c r="E7" s="5">
        <v>45953</v>
      </c>
      <c r="F7" s="5">
        <v>45957</v>
      </c>
      <c r="G7" s="6" t="s">
        <v>128</v>
      </c>
      <c r="H7" s="14"/>
      <c r="I7" s="15"/>
      <c r="J7" s="8"/>
      <c r="K7" s="8"/>
      <c r="L7" s="8"/>
      <c r="M7" s="8"/>
      <c r="N7" s="9"/>
      <c r="O7" s="165" t="s">
        <v>73</v>
      </c>
      <c r="P7" s="165"/>
      <c r="Q7" s="15"/>
      <c r="R7" s="15"/>
      <c r="S7" s="10" t="s">
        <v>212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70" t="s">
        <v>74</v>
      </c>
      <c r="AE7" s="171"/>
      <c r="AF7" s="171"/>
      <c r="AG7" s="16"/>
      <c r="AH7" s="16"/>
      <c r="AI7" s="16"/>
      <c r="AJ7" s="16"/>
      <c r="AK7" s="16"/>
      <c r="AL7" s="16"/>
      <c r="AM7" s="16"/>
      <c r="AN7" s="10" t="s">
        <v>214</v>
      </c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0" t="s">
        <v>215</v>
      </c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32"/>
      <c r="BQ7" s="132"/>
      <c r="BR7" s="132"/>
      <c r="BS7" s="132"/>
      <c r="BT7" s="132"/>
      <c r="BU7" s="137"/>
    </row>
    <row r="8" spans="1:73" s="49" customFormat="1" ht="17.25" customHeight="1">
      <c r="A8" s="128"/>
      <c r="B8" s="12" t="s">
        <v>204</v>
      </c>
      <c r="C8" s="13">
        <v>1</v>
      </c>
      <c r="D8" s="4">
        <f t="shared" si="0"/>
        <v>11</v>
      </c>
      <c r="E8" s="5">
        <v>45951</v>
      </c>
      <c r="F8" s="5">
        <v>45961</v>
      </c>
      <c r="G8" s="6" t="s">
        <v>129</v>
      </c>
      <c r="H8" s="7"/>
      <c r="I8" s="8"/>
      <c r="J8" s="8"/>
      <c r="K8" s="8"/>
      <c r="L8" s="8"/>
      <c r="M8" s="8"/>
      <c r="N8" s="9"/>
      <c r="O8" s="165" t="s">
        <v>73</v>
      </c>
      <c r="P8" s="165"/>
      <c r="Q8" s="8"/>
      <c r="R8" s="15"/>
      <c r="S8" s="10" t="s">
        <v>212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70" t="s">
        <v>74</v>
      </c>
      <c r="AE8" s="171"/>
      <c r="AF8" s="171"/>
      <c r="AG8" s="16"/>
      <c r="AH8" s="16"/>
      <c r="AI8" s="16"/>
      <c r="AJ8" s="16"/>
      <c r="AK8" s="16"/>
      <c r="AL8" s="16"/>
      <c r="AM8" s="16"/>
      <c r="AN8" s="10" t="s">
        <v>214</v>
      </c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0" t="s">
        <v>215</v>
      </c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32"/>
      <c r="BQ8" s="132"/>
      <c r="BR8" s="132"/>
      <c r="BS8" s="132"/>
      <c r="BT8" s="132"/>
      <c r="BU8" s="137"/>
    </row>
    <row r="9" spans="1:73" s="49" customFormat="1" ht="17.25" customHeight="1">
      <c r="A9" s="128"/>
      <c r="B9" s="12" t="s">
        <v>205</v>
      </c>
      <c r="C9" s="13">
        <v>1</v>
      </c>
      <c r="D9" s="4">
        <f t="shared" si="0"/>
        <v>1</v>
      </c>
      <c r="E9" s="5">
        <v>45951</v>
      </c>
      <c r="F9" s="5">
        <v>45951</v>
      </c>
      <c r="G9" s="6" t="s">
        <v>128</v>
      </c>
      <c r="H9" s="7"/>
      <c r="I9" s="15"/>
      <c r="J9" s="15"/>
      <c r="K9" s="15"/>
      <c r="L9" s="15"/>
      <c r="M9" s="15"/>
      <c r="N9" s="17"/>
      <c r="O9" s="165" t="s">
        <v>73</v>
      </c>
      <c r="P9" s="165"/>
      <c r="Q9" s="15"/>
      <c r="R9" s="15"/>
      <c r="S9" s="10" t="s">
        <v>212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70" t="s">
        <v>74</v>
      </c>
      <c r="AE9" s="171"/>
      <c r="AF9" s="171"/>
      <c r="AG9" s="16"/>
      <c r="AH9" s="16"/>
      <c r="AI9" s="16"/>
      <c r="AJ9" s="16"/>
      <c r="AK9" s="16"/>
      <c r="AL9" s="16"/>
      <c r="AM9" s="16"/>
      <c r="AN9" s="10" t="s">
        <v>214</v>
      </c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0" t="s">
        <v>215</v>
      </c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32"/>
      <c r="BQ9" s="132"/>
      <c r="BR9" s="132"/>
      <c r="BS9" s="132"/>
      <c r="BT9" s="132"/>
      <c r="BU9" s="137"/>
    </row>
    <row r="10" spans="1:73" ht="17.25" customHeight="1">
      <c r="A10" s="128"/>
      <c r="B10" s="18" t="s">
        <v>199</v>
      </c>
      <c r="C10" s="3">
        <v>1</v>
      </c>
      <c r="D10" s="4">
        <f t="shared" ref="D10:D13" si="1">F10-E10+1</f>
        <v>2</v>
      </c>
      <c r="E10" s="5">
        <f>MIN(E11:E13)</f>
        <v>45951</v>
      </c>
      <c r="F10" s="5">
        <f>MAX(F11:F13)</f>
        <v>45952</v>
      </c>
      <c r="G10" s="6" t="s">
        <v>153</v>
      </c>
      <c r="H10" s="7"/>
      <c r="I10" s="7"/>
      <c r="J10" s="14"/>
      <c r="K10" s="14"/>
      <c r="L10" s="14"/>
      <c r="M10" s="14"/>
      <c r="N10" s="1"/>
      <c r="O10" s="165" t="s">
        <v>73</v>
      </c>
      <c r="P10" s="165"/>
      <c r="Q10" s="1"/>
      <c r="R10" s="19"/>
      <c r="S10" s="10" t="s">
        <v>212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70" t="s">
        <v>74</v>
      </c>
      <c r="AE10" s="170"/>
      <c r="AF10" s="170"/>
      <c r="AG10" s="11"/>
      <c r="AH10" s="11"/>
      <c r="AI10" s="11"/>
      <c r="AJ10" s="11"/>
      <c r="AK10" s="11"/>
      <c r="AL10" s="11"/>
      <c r="AM10" s="11"/>
      <c r="AN10" s="10" t="s">
        <v>214</v>
      </c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0" t="s">
        <v>215</v>
      </c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32"/>
      <c r="BQ10" s="132"/>
      <c r="BR10" s="132"/>
      <c r="BS10" s="132"/>
      <c r="BT10" s="132"/>
      <c r="BU10" s="137"/>
    </row>
    <row r="11" spans="1:73" ht="17.25" customHeight="1">
      <c r="A11" s="128"/>
      <c r="B11" s="20" t="s">
        <v>200</v>
      </c>
      <c r="C11" s="3">
        <v>1</v>
      </c>
      <c r="D11" s="4">
        <f t="shared" si="1"/>
        <v>1</v>
      </c>
      <c r="E11" s="5">
        <v>45951</v>
      </c>
      <c r="F11" s="5">
        <v>45951</v>
      </c>
      <c r="G11" s="6" t="s">
        <v>129</v>
      </c>
      <c r="H11" s="7"/>
      <c r="I11" s="14"/>
      <c r="J11" s="14"/>
      <c r="K11" s="14"/>
      <c r="L11" s="14"/>
      <c r="M11" s="14"/>
      <c r="N11" s="1"/>
      <c r="O11" s="165" t="s">
        <v>73</v>
      </c>
      <c r="P11" s="165"/>
      <c r="Q11" s="1"/>
      <c r="R11" s="19"/>
      <c r="S11" s="10" t="s">
        <v>212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70" t="s">
        <v>74</v>
      </c>
      <c r="AE11" s="170"/>
      <c r="AF11" s="170"/>
      <c r="AG11" s="11"/>
      <c r="AH11" s="11"/>
      <c r="AI11" s="11"/>
      <c r="AJ11" s="11"/>
      <c r="AK11" s="11"/>
      <c r="AL11" s="11"/>
      <c r="AM11" s="11"/>
      <c r="AN11" s="10" t="s">
        <v>214</v>
      </c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0" t="s">
        <v>215</v>
      </c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32"/>
      <c r="BQ11" s="132"/>
      <c r="BR11" s="132"/>
      <c r="BS11" s="132"/>
      <c r="BT11" s="132"/>
      <c r="BU11" s="137"/>
    </row>
    <row r="12" spans="1:73" ht="17.25" customHeight="1">
      <c r="A12" s="128"/>
      <c r="B12" s="20" t="s">
        <v>201</v>
      </c>
      <c r="C12" s="3">
        <v>1</v>
      </c>
      <c r="D12" s="4">
        <f t="shared" si="1"/>
        <v>1</v>
      </c>
      <c r="E12" s="5">
        <v>45952</v>
      </c>
      <c r="F12" s="5">
        <v>45952</v>
      </c>
      <c r="G12" s="6" t="s">
        <v>129</v>
      </c>
      <c r="H12" s="14"/>
      <c r="I12" s="7"/>
      <c r="J12" s="14"/>
      <c r="K12" s="14"/>
      <c r="L12" s="14"/>
      <c r="M12" s="14"/>
      <c r="N12" s="1"/>
      <c r="O12" s="165" t="s">
        <v>73</v>
      </c>
      <c r="P12" s="165"/>
      <c r="Q12" s="1"/>
      <c r="R12" s="19"/>
      <c r="S12" s="10" t="s">
        <v>212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70" t="s">
        <v>74</v>
      </c>
      <c r="AE12" s="170"/>
      <c r="AF12" s="170"/>
      <c r="AG12" s="11"/>
      <c r="AH12" s="11"/>
      <c r="AI12" s="11"/>
      <c r="AJ12" s="11"/>
      <c r="AK12" s="11"/>
      <c r="AL12" s="11"/>
      <c r="AM12" s="11"/>
      <c r="AN12" s="10" t="s">
        <v>214</v>
      </c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0" t="s">
        <v>215</v>
      </c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32"/>
      <c r="BQ12" s="132"/>
      <c r="BR12" s="132"/>
      <c r="BS12" s="132"/>
      <c r="BT12" s="132"/>
      <c r="BU12" s="137"/>
    </row>
    <row r="13" spans="1:73" ht="17.25" customHeight="1" thickBot="1">
      <c r="A13" s="129"/>
      <c r="B13" s="63" t="s">
        <v>202</v>
      </c>
      <c r="C13" s="64">
        <v>1</v>
      </c>
      <c r="D13" s="65">
        <f t="shared" si="1"/>
        <v>1</v>
      </c>
      <c r="E13" s="66">
        <v>45952</v>
      </c>
      <c r="F13" s="66">
        <v>45952</v>
      </c>
      <c r="G13" s="67" t="s">
        <v>128</v>
      </c>
      <c r="H13" s="68"/>
      <c r="I13" s="69"/>
      <c r="J13" s="68"/>
      <c r="K13" s="68"/>
      <c r="L13" s="68"/>
      <c r="M13" s="68"/>
      <c r="N13" s="70"/>
      <c r="O13" s="166" t="s">
        <v>73</v>
      </c>
      <c r="P13" s="166"/>
      <c r="Q13" s="70"/>
      <c r="R13" s="71"/>
      <c r="S13" s="72" t="s">
        <v>212</v>
      </c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172" t="s">
        <v>74</v>
      </c>
      <c r="AE13" s="173"/>
      <c r="AF13" s="173"/>
      <c r="AG13" s="73"/>
      <c r="AH13" s="73"/>
      <c r="AI13" s="73"/>
      <c r="AJ13" s="73"/>
      <c r="AK13" s="73"/>
      <c r="AL13" s="73"/>
      <c r="AM13" s="73"/>
      <c r="AN13" s="72" t="s">
        <v>214</v>
      </c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2" t="s">
        <v>215</v>
      </c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148"/>
      <c r="BQ13" s="148"/>
      <c r="BR13" s="148"/>
      <c r="BS13" s="148"/>
      <c r="BT13" s="148"/>
      <c r="BU13" s="162"/>
    </row>
    <row r="14" spans="1:73" ht="17.25" customHeight="1">
      <c r="A14" s="127" t="s">
        <v>194</v>
      </c>
      <c r="B14" s="120" t="s">
        <v>75</v>
      </c>
      <c r="C14" s="53">
        <v>1</v>
      </c>
      <c r="D14" s="54">
        <f>F14-E14+1</f>
        <v>8</v>
      </c>
      <c r="E14" s="55">
        <f>MIN(E15:E18)</f>
        <v>45954</v>
      </c>
      <c r="F14" s="55">
        <f>MAX(F15:F18)</f>
        <v>45961</v>
      </c>
      <c r="G14" s="56" t="s">
        <v>189</v>
      </c>
      <c r="H14" s="60"/>
      <c r="I14" s="74"/>
      <c r="J14" s="60"/>
      <c r="K14" s="75"/>
      <c r="L14" s="75"/>
      <c r="M14" s="75"/>
      <c r="N14" s="75"/>
      <c r="O14" s="167" t="s">
        <v>73</v>
      </c>
      <c r="P14" s="167"/>
      <c r="Q14" s="75"/>
      <c r="R14" s="75"/>
      <c r="S14" s="61" t="s">
        <v>212</v>
      </c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9" t="s">
        <v>74</v>
      </c>
      <c r="AE14" s="174"/>
      <c r="AF14" s="174"/>
      <c r="AG14" s="62"/>
      <c r="AH14" s="62"/>
      <c r="AI14" s="62"/>
      <c r="AJ14" s="62"/>
      <c r="AK14" s="62"/>
      <c r="AL14" s="62"/>
      <c r="AM14" s="62"/>
      <c r="AN14" s="61" t="s">
        <v>214</v>
      </c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1" t="s">
        <v>215</v>
      </c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143"/>
      <c r="BQ14" s="146"/>
      <c r="BR14" s="146"/>
      <c r="BS14" s="146"/>
      <c r="BT14" s="146"/>
      <c r="BU14" s="147"/>
    </row>
    <row r="15" spans="1:73" ht="17.25" customHeight="1" outlineLevel="1">
      <c r="A15" s="128"/>
      <c r="B15" s="21" t="s">
        <v>76</v>
      </c>
      <c r="C15" s="3">
        <v>1</v>
      </c>
      <c r="D15" s="4">
        <f>F15-E15+1</f>
        <v>4</v>
      </c>
      <c r="E15" s="5">
        <v>45954</v>
      </c>
      <c r="F15" s="5">
        <v>45957</v>
      </c>
      <c r="G15" s="6" t="s">
        <v>128</v>
      </c>
      <c r="H15" s="1"/>
      <c r="I15" s="1"/>
      <c r="J15" s="1"/>
      <c r="K15" s="7"/>
      <c r="L15" s="7"/>
      <c r="M15" s="7"/>
      <c r="N15" s="7"/>
      <c r="O15" s="165" t="s">
        <v>73</v>
      </c>
      <c r="P15" s="165"/>
      <c r="Q15" s="19"/>
      <c r="R15" s="19"/>
      <c r="S15" s="10" t="s">
        <v>212</v>
      </c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70" t="s">
        <v>74</v>
      </c>
      <c r="AE15" s="171"/>
      <c r="AF15" s="171"/>
      <c r="AG15" s="11"/>
      <c r="AH15" s="11"/>
      <c r="AI15" s="11"/>
      <c r="AJ15" s="11"/>
      <c r="AK15" s="11"/>
      <c r="AL15" s="11"/>
      <c r="AM15" s="11"/>
      <c r="AN15" s="10" t="s">
        <v>214</v>
      </c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0" t="s">
        <v>215</v>
      </c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32"/>
      <c r="BQ15" s="131"/>
      <c r="BR15" s="131"/>
      <c r="BS15" s="131"/>
      <c r="BT15" s="131"/>
      <c r="BU15" s="133"/>
    </row>
    <row r="16" spans="1:73" outlineLevel="1">
      <c r="A16" s="128"/>
      <c r="B16" s="21" t="s">
        <v>77</v>
      </c>
      <c r="C16" s="3">
        <v>1</v>
      </c>
      <c r="D16" s="4">
        <f t="shared" ref="D16:D51" si="2">F16-E16+1</f>
        <v>8</v>
      </c>
      <c r="E16" s="5">
        <v>45954</v>
      </c>
      <c r="F16" s="5">
        <v>45961</v>
      </c>
      <c r="G16" s="6" t="s">
        <v>189</v>
      </c>
      <c r="H16" s="1"/>
      <c r="I16" s="1"/>
      <c r="J16" s="1"/>
      <c r="K16" s="7"/>
      <c r="L16" s="7"/>
      <c r="M16" s="7"/>
      <c r="N16" s="7"/>
      <c r="O16" s="165" t="s">
        <v>73</v>
      </c>
      <c r="P16" s="165"/>
      <c r="Q16" s="50"/>
      <c r="R16" s="50"/>
      <c r="S16" s="10" t="s">
        <v>212</v>
      </c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70" t="s">
        <v>74</v>
      </c>
      <c r="AE16" s="171"/>
      <c r="AF16" s="171"/>
      <c r="AG16" s="11"/>
      <c r="AH16" s="11"/>
      <c r="AI16" s="11"/>
      <c r="AJ16" s="11"/>
      <c r="AK16" s="11"/>
      <c r="AL16" s="11"/>
      <c r="AM16" s="11"/>
      <c r="AN16" s="10" t="s">
        <v>214</v>
      </c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0" t="s">
        <v>215</v>
      </c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32"/>
      <c r="BQ16" s="131"/>
      <c r="BR16" s="131"/>
      <c r="BS16" s="131"/>
      <c r="BT16" s="131"/>
      <c r="BU16" s="133"/>
    </row>
    <row r="17" spans="1:73" ht="17.25" customHeight="1" outlineLevel="1">
      <c r="A17" s="128"/>
      <c r="B17" s="21" t="s">
        <v>195</v>
      </c>
      <c r="C17" s="3">
        <v>1</v>
      </c>
      <c r="D17" s="4">
        <f t="shared" si="2"/>
        <v>2</v>
      </c>
      <c r="E17" s="5">
        <v>45954</v>
      </c>
      <c r="F17" s="5">
        <v>45955</v>
      </c>
      <c r="G17" s="6" t="s">
        <v>189</v>
      </c>
      <c r="H17" s="1"/>
      <c r="I17" s="1"/>
      <c r="J17" s="1"/>
      <c r="K17" s="17"/>
      <c r="L17" s="17"/>
      <c r="M17" s="17"/>
      <c r="N17" s="22"/>
      <c r="O17" s="165" t="s">
        <v>73</v>
      </c>
      <c r="P17" s="165"/>
      <c r="Q17" s="19"/>
      <c r="R17" s="19"/>
      <c r="S17" s="10" t="s">
        <v>212</v>
      </c>
      <c r="T17" s="19"/>
      <c r="U17" s="19"/>
      <c r="V17" s="19"/>
      <c r="W17" s="19"/>
      <c r="X17" s="19"/>
      <c r="Y17" s="19"/>
      <c r="Z17" s="19"/>
      <c r="AA17" s="19"/>
      <c r="AB17" s="19"/>
      <c r="AC17" s="164"/>
      <c r="AD17" s="170" t="s">
        <v>74</v>
      </c>
      <c r="AE17" s="171"/>
      <c r="AF17" s="171"/>
      <c r="AG17" s="11"/>
      <c r="AH17" s="11"/>
      <c r="AI17" s="11"/>
      <c r="AJ17" s="11"/>
      <c r="AK17" s="11"/>
      <c r="AL17" s="11"/>
      <c r="AM17" s="11"/>
      <c r="AN17" s="10" t="s">
        <v>214</v>
      </c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0" t="s">
        <v>215</v>
      </c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32"/>
      <c r="BQ17" s="131"/>
      <c r="BR17" s="131"/>
      <c r="BS17" s="131"/>
      <c r="BT17" s="131"/>
      <c r="BU17" s="133"/>
    </row>
    <row r="18" spans="1:73" ht="17.25" customHeight="1" outlineLevel="1">
      <c r="A18" s="128"/>
      <c r="B18" s="21" t="s">
        <v>78</v>
      </c>
      <c r="C18" s="3">
        <v>1</v>
      </c>
      <c r="D18" s="4">
        <f t="shared" si="2"/>
        <v>6</v>
      </c>
      <c r="E18" s="5">
        <v>45956</v>
      </c>
      <c r="F18" s="5">
        <v>45961</v>
      </c>
      <c r="G18" s="6" t="s">
        <v>147</v>
      </c>
      <c r="H18" s="1"/>
      <c r="I18" s="1"/>
      <c r="J18" s="1"/>
      <c r="K18" s="15"/>
      <c r="L18" s="15"/>
      <c r="M18" s="15"/>
      <c r="N18" s="22"/>
      <c r="O18" s="165" t="s">
        <v>73</v>
      </c>
      <c r="P18" s="165"/>
      <c r="Q18" s="19"/>
      <c r="R18" s="19"/>
      <c r="S18" s="10" t="s">
        <v>212</v>
      </c>
      <c r="T18" s="19"/>
      <c r="U18" s="19"/>
      <c r="V18" s="19"/>
      <c r="W18" s="19"/>
      <c r="X18" s="19"/>
      <c r="Y18" s="19"/>
      <c r="Z18" s="19"/>
      <c r="AA18" s="19"/>
      <c r="AB18" s="19"/>
      <c r="AC18" s="164"/>
      <c r="AD18" s="170" t="s">
        <v>74</v>
      </c>
      <c r="AE18" s="171"/>
      <c r="AF18" s="171"/>
      <c r="AG18" s="11"/>
      <c r="AH18" s="11"/>
      <c r="AI18" s="11"/>
      <c r="AJ18" s="11"/>
      <c r="AK18" s="11"/>
      <c r="AL18" s="11"/>
      <c r="AM18" s="11"/>
      <c r="AN18" s="10" t="s">
        <v>214</v>
      </c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0" t="s">
        <v>215</v>
      </c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32"/>
      <c r="BQ18" s="131"/>
      <c r="BR18" s="131"/>
      <c r="BS18" s="131"/>
      <c r="BT18" s="131"/>
      <c r="BU18" s="133"/>
    </row>
    <row r="19" spans="1:73" ht="17.25" customHeight="1">
      <c r="A19" s="128"/>
      <c r="B19" s="121" t="s">
        <v>182</v>
      </c>
      <c r="C19" s="3">
        <v>1</v>
      </c>
      <c r="D19" s="4">
        <f t="shared" si="2"/>
        <v>9</v>
      </c>
      <c r="E19" s="5">
        <f>MIN(E20:E25)</f>
        <v>45954</v>
      </c>
      <c r="F19" s="5">
        <f>MAX(F20:F25)</f>
        <v>45962</v>
      </c>
      <c r="G19" s="6" t="s">
        <v>189</v>
      </c>
      <c r="H19" s="1"/>
      <c r="I19" s="1"/>
      <c r="J19" s="164"/>
      <c r="K19" s="8"/>
      <c r="L19" s="8"/>
      <c r="M19" s="8"/>
      <c r="N19" s="50"/>
      <c r="O19" s="165" t="s">
        <v>73</v>
      </c>
      <c r="P19" s="165"/>
      <c r="Q19" s="50"/>
      <c r="R19" s="50"/>
      <c r="S19" s="51" t="s">
        <v>212</v>
      </c>
      <c r="T19" s="1"/>
      <c r="U19" s="19"/>
      <c r="V19" s="19"/>
      <c r="W19" s="19"/>
      <c r="X19" s="19"/>
      <c r="Y19" s="19"/>
      <c r="Z19" s="19"/>
      <c r="AA19" s="19"/>
      <c r="AB19" s="19"/>
      <c r="AC19" s="19"/>
      <c r="AD19" s="170" t="s">
        <v>74</v>
      </c>
      <c r="AE19" s="171"/>
      <c r="AF19" s="171"/>
      <c r="AG19" s="11"/>
      <c r="AH19" s="11"/>
      <c r="AI19" s="11"/>
      <c r="AJ19" s="11"/>
      <c r="AK19" s="11"/>
      <c r="AL19" s="11"/>
      <c r="AM19" s="11"/>
      <c r="AN19" s="10" t="s">
        <v>214</v>
      </c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0" t="s">
        <v>215</v>
      </c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32"/>
      <c r="BQ19" s="131"/>
      <c r="BR19" s="131"/>
      <c r="BS19" s="131"/>
      <c r="BT19" s="131"/>
      <c r="BU19" s="133"/>
    </row>
    <row r="20" spans="1:73" ht="17.25" customHeight="1" outlineLevel="1">
      <c r="A20" s="128"/>
      <c r="B20" s="23" t="s">
        <v>183</v>
      </c>
      <c r="C20" s="3">
        <v>1</v>
      </c>
      <c r="D20" s="4">
        <f t="shared" si="2"/>
        <v>2</v>
      </c>
      <c r="E20" s="5">
        <v>45961</v>
      </c>
      <c r="F20" s="5">
        <v>45962</v>
      </c>
      <c r="G20" s="6" t="s">
        <v>189</v>
      </c>
      <c r="H20" s="1"/>
      <c r="I20" s="1"/>
      <c r="J20" s="1"/>
      <c r="K20" s="15"/>
      <c r="L20" s="15"/>
      <c r="M20" s="15"/>
      <c r="N20" s="22"/>
      <c r="O20" s="165" t="s">
        <v>73</v>
      </c>
      <c r="P20" s="165"/>
      <c r="Q20" s="22"/>
      <c r="R20" s="50"/>
      <c r="S20" s="51" t="s">
        <v>212</v>
      </c>
      <c r="T20" s="14"/>
      <c r="U20" s="22"/>
      <c r="V20" s="19"/>
      <c r="W20" s="19"/>
      <c r="X20" s="19"/>
      <c r="Y20" s="19"/>
      <c r="Z20" s="19"/>
      <c r="AA20" s="19"/>
      <c r="AB20" s="19"/>
      <c r="AC20" s="19"/>
      <c r="AD20" s="170" t="s">
        <v>74</v>
      </c>
      <c r="AE20" s="171"/>
      <c r="AF20" s="171"/>
      <c r="AG20" s="11"/>
      <c r="AH20" s="11"/>
      <c r="AI20" s="11"/>
      <c r="AJ20" s="11"/>
      <c r="AK20" s="11"/>
      <c r="AL20" s="11"/>
      <c r="AM20" s="11"/>
      <c r="AN20" s="10" t="s">
        <v>214</v>
      </c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0" t="s">
        <v>215</v>
      </c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32"/>
      <c r="BQ20" s="131"/>
      <c r="BR20" s="131"/>
      <c r="BS20" s="131"/>
      <c r="BT20" s="131"/>
      <c r="BU20" s="133"/>
    </row>
    <row r="21" spans="1:73" ht="17.25" customHeight="1" outlineLevel="1">
      <c r="A21" s="128"/>
      <c r="B21" s="23" t="s">
        <v>184</v>
      </c>
      <c r="C21" s="3">
        <v>1</v>
      </c>
      <c r="D21" s="4">
        <f t="shared" si="2"/>
        <v>2</v>
      </c>
      <c r="E21" s="5">
        <v>45961</v>
      </c>
      <c r="F21" s="5">
        <v>45962</v>
      </c>
      <c r="G21" s="6" t="s">
        <v>189</v>
      </c>
      <c r="H21" s="1"/>
      <c r="I21" s="1"/>
      <c r="J21" s="1"/>
      <c r="K21" s="15"/>
      <c r="L21" s="15"/>
      <c r="M21" s="15"/>
      <c r="N21" s="22"/>
      <c r="O21" s="165" t="s">
        <v>73</v>
      </c>
      <c r="P21" s="165"/>
      <c r="Q21" s="22"/>
      <c r="R21" s="50"/>
      <c r="S21" s="51" t="s">
        <v>212</v>
      </c>
      <c r="T21" s="14"/>
      <c r="U21" s="22"/>
      <c r="V21" s="19"/>
      <c r="W21" s="19"/>
      <c r="X21" s="19"/>
      <c r="Y21" s="19"/>
      <c r="Z21" s="19"/>
      <c r="AA21" s="19"/>
      <c r="AB21" s="19"/>
      <c r="AC21" s="19"/>
      <c r="AD21" s="170" t="s">
        <v>74</v>
      </c>
      <c r="AE21" s="171"/>
      <c r="AF21" s="171"/>
      <c r="AG21" s="11"/>
      <c r="AH21" s="11"/>
      <c r="AI21" s="11"/>
      <c r="AJ21" s="11"/>
      <c r="AK21" s="11"/>
      <c r="AL21" s="11"/>
      <c r="AM21" s="11"/>
      <c r="AN21" s="10" t="s">
        <v>214</v>
      </c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0" t="s">
        <v>215</v>
      </c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32"/>
      <c r="BQ21" s="131"/>
      <c r="BR21" s="131"/>
      <c r="BS21" s="131"/>
      <c r="BT21" s="131"/>
      <c r="BU21" s="133"/>
    </row>
    <row r="22" spans="1:73" ht="17.25" customHeight="1" outlineLevel="1">
      <c r="A22" s="128"/>
      <c r="B22" s="21" t="s">
        <v>185</v>
      </c>
      <c r="C22" s="3">
        <v>1</v>
      </c>
      <c r="D22" s="4">
        <f t="shared" si="2"/>
        <v>4</v>
      </c>
      <c r="E22" s="5">
        <v>45954</v>
      </c>
      <c r="F22" s="5">
        <v>45957</v>
      </c>
      <c r="G22" s="6" t="s">
        <v>189</v>
      </c>
      <c r="H22" s="1"/>
      <c r="I22" s="1"/>
      <c r="J22" s="1"/>
      <c r="K22" s="7"/>
      <c r="L22" s="7"/>
      <c r="M22" s="7"/>
      <c r="N22" s="7"/>
      <c r="O22" s="165" t="s">
        <v>73</v>
      </c>
      <c r="P22" s="165"/>
      <c r="Q22" s="22"/>
      <c r="R22" s="22"/>
      <c r="S22" s="10" t="s">
        <v>212</v>
      </c>
      <c r="T22" s="22"/>
      <c r="U22" s="22"/>
      <c r="V22" s="19"/>
      <c r="W22" s="19"/>
      <c r="X22" s="19"/>
      <c r="Y22" s="19"/>
      <c r="Z22" s="19"/>
      <c r="AA22" s="19"/>
      <c r="AB22" s="19"/>
      <c r="AC22" s="19"/>
      <c r="AD22" s="170" t="s">
        <v>74</v>
      </c>
      <c r="AE22" s="171"/>
      <c r="AF22" s="171"/>
      <c r="AG22" s="11"/>
      <c r="AH22" s="11"/>
      <c r="AI22" s="11"/>
      <c r="AJ22" s="11"/>
      <c r="AK22" s="11"/>
      <c r="AL22" s="11"/>
      <c r="AM22" s="11"/>
      <c r="AN22" s="10" t="s">
        <v>214</v>
      </c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0" t="s">
        <v>215</v>
      </c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45" t="s">
        <v>79</v>
      </c>
      <c r="BQ22" s="131"/>
      <c r="BR22" s="131"/>
      <c r="BS22" s="131"/>
      <c r="BT22" s="131"/>
      <c r="BU22" s="133"/>
    </row>
    <row r="23" spans="1:73" ht="17.25" customHeight="1" outlineLevel="1">
      <c r="A23" s="128"/>
      <c r="B23" s="23" t="s">
        <v>186</v>
      </c>
      <c r="C23" s="3">
        <v>1</v>
      </c>
      <c r="D23" s="4">
        <f t="shared" si="2"/>
        <v>4</v>
      </c>
      <c r="E23" s="5">
        <v>45954</v>
      </c>
      <c r="F23" s="5">
        <v>45957</v>
      </c>
      <c r="G23" s="6" t="s">
        <v>189</v>
      </c>
      <c r="H23" s="1"/>
      <c r="I23" s="1"/>
      <c r="J23" s="1"/>
      <c r="K23" s="7"/>
      <c r="L23" s="7"/>
      <c r="M23" s="7"/>
      <c r="N23" s="7"/>
      <c r="O23" s="165" t="s">
        <v>73</v>
      </c>
      <c r="P23" s="165"/>
      <c r="Q23" s="22"/>
      <c r="R23" s="22"/>
      <c r="S23" s="10" t="s">
        <v>212</v>
      </c>
      <c r="T23" s="22"/>
      <c r="U23" s="22"/>
      <c r="V23" s="19"/>
      <c r="W23" s="19"/>
      <c r="X23" s="19"/>
      <c r="Y23" s="19"/>
      <c r="Z23" s="19"/>
      <c r="AA23" s="19"/>
      <c r="AB23" s="19"/>
      <c r="AC23" s="19"/>
      <c r="AD23" s="170" t="s">
        <v>74</v>
      </c>
      <c r="AE23" s="171"/>
      <c r="AF23" s="171"/>
      <c r="AG23" s="11"/>
      <c r="AH23" s="11"/>
      <c r="AI23" s="11"/>
      <c r="AJ23" s="11"/>
      <c r="AK23" s="11"/>
      <c r="AL23" s="11"/>
      <c r="AM23" s="11"/>
      <c r="AN23" s="10" t="s">
        <v>214</v>
      </c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0" t="s">
        <v>215</v>
      </c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45" t="s">
        <v>80</v>
      </c>
      <c r="BQ23" s="131"/>
      <c r="BR23" s="131"/>
      <c r="BS23" s="131"/>
      <c r="BT23" s="131"/>
      <c r="BU23" s="133"/>
    </row>
    <row r="24" spans="1:73" ht="17.25" customHeight="1" outlineLevel="1">
      <c r="A24" s="128"/>
      <c r="B24" s="23" t="s">
        <v>187</v>
      </c>
      <c r="C24" s="3">
        <v>1</v>
      </c>
      <c r="D24" s="4">
        <f t="shared" si="2"/>
        <v>1</v>
      </c>
      <c r="E24" s="5">
        <v>45957</v>
      </c>
      <c r="F24" s="5">
        <v>45957</v>
      </c>
      <c r="G24" s="6" t="s">
        <v>189</v>
      </c>
      <c r="H24" s="1"/>
      <c r="I24" s="1"/>
      <c r="J24" s="1"/>
      <c r="K24" s="15"/>
      <c r="L24" s="15"/>
      <c r="M24" s="15"/>
      <c r="N24" s="7"/>
      <c r="O24" s="165" t="s">
        <v>73</v>
      </c>
      <c r="P24" s="165"/>
      <c r="Q24" s="22"/>
      <c r="R24" s="22"/>
      <c r="S24" s="10" t="s">
        <v>212</v>
      </c>
      <c r="T24" s="22"/>
      <c r="U24" s="22"/>
      <c r="V24" s="19"/>
      <c r="W24" s="19"/>
      <c r="X24" s="19"/>
      <c r="Y24" s="19"/>
      <c r="Z24" s="19"/>
      <c r="AA24" s="19"/>
      <c r="AB24" s="19"/>
      <c r="AC24" s="19"/>
      <c r="AD24" s="170" t="s">
        <v>74</v>
      </c>
      <c r="AE24" s="171"/>
      <c r="AF24" s="171"/>
      <c r="AG24" s="11"/>
      <c r="AH24" s="11"/>
      <c r="AI24" s="11"/>
      <c r="AJ24" s="11"/>
      <c r="AK24" s="11"/>
      <c r="AL24" s="11"/>
      <c r="AM24" s="11"/>
      <c r="AN24" s="10" t="s">
        <v>214</v>
      </c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0" t="s">
        <v>215</v>
      </c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45" t="s">
        <v>81</v>
      </c>
      <c r="BQ24" s="131"/>
      <c r="BR24" s="131"/>
      <c r="BS24" s="131"/>
      <c r="BT24" s="131"/>
      <c r="BU24" s="133"/>
    </row>
    <row r="25" spans="1:73" ht="17.25" customHeight="1" outlineLevel="1">
      <c r="A25" s="128"/>
      <c r="B25" s="23" t="s">
        <v>188</v>
      </c>
      <c r="C25" s="3">
        <v>1</v>
      </c>
      <c r="D25" s="4">
        <f t="shared" si="2"/>
        <v>2</v>
      </c>
      <c r="E25" s="5">
        <v>45960</v>
      </c>
      <c r="F25" s="5">
        <v>45961</v>
      </c>
      <c r="G25" s="6" t="s">
        <v>189</v>
      </c>
      <c r="H25" s="1"/>
      <c r="I25" s="1"/>
      <c r="J25" s="1"/>
      <c r="K25" s="1"/>
      <c r="L25" s="1"/>
      <c r="M25" s="1"/>
      <c r="N25" s="19"/>
      <c r="O25" s="165" t="s">
        <v>73</v>
      </c>
      <c r="P25" s="165"/>
      <c r="Q25" s="7"/>
      <c r="R25" s="7"/>
      <c r="S25" s="10" t="s">
        <v>212</v>
      </c>
      <c r="T25" s="22"/>
      <c r="U25" s="22"/>
      <c r="V25" s="19"/>
      <c r="W25" s="19"/>
      <c r="X25" s="19"/>
      <c r="Y25" s="19"/>
      <c r="Z25" s="19"/>
      <c r="AA25" s="19"/>
      <c r="AB25" s="19"/>
      <c r="AC25" s="19"/>
      <c r="AD25" s="170" t="s">
        <v>74</v>
      </c>
      <c r="AE25" s="171"/>
      <c r="AF25" s="171"/>
      <c r="AG25" s="11"/>
      <c r="AH25" s="11"/>
      <c r="AI25" s="11"/>
      <c r="AJ25" s="11"/>
      <c r="AK25" s="11"/>
      <c r="AL25" s="11"/>
      <c r="AM25" s="11"/>
      <c r="AN25" s="10" t="s">
        <v>214</v>
      </c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0" t="s">
        <v>215</v>
      </c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32"/>
      <c r="BQ25" s="131"/>
      <c r="BR25" s="131"/>
      <c r="BS25" s="131"/>
      <c r="BT25" s="131"/>
      <c r="BU25" s="133"/>
    </row>
    <row r="26" spans="1:73" ht="17.25" customHeight="1">
      <c r="A26" s="128"/>
      <c r="B26" s="43" t="s">
        <v>82</v>
      </c>
      <c r="C26" s="3">
        <v>1</v>
      </c>
      <c r="D26" s="4">
        <f t="shared" si="2"/>
        <v>3</v>
      </c>
      <c r="E26" s="5">
        <f>MIN(E27:E30)</f>
        <v>45954</v>
      </c>
      <c r="F26" s="5">
        <f>MAX(F27:F30)</f>
        <v>45956</v>
      </c>
      <c r="G26" s="6" t="s">
        <v>128</v>
      </c>
      <c r="H26" s="1"/>
      <c r="I26" s="1"/>
      <c r="J26" s="1"/>
      <c r="K26" s="50"/>
      <c r="L26" s="50"/>
      <c r="M26" s="50"/>
      <c r="N26" s="19"/>
      <c r="O26" s="165" t="s">
        <v>73</v>
      </c>
      <c r="P26" s="165"/>
      <c r="Q26" s="22"/>
      <c r="R26" s="22"/>
      <c r="S26" s="10" t="s">
        <v>212</v>
      </c>
      <c r="T26" s="22"/>
      <c r="U26" s="22"/>
      <c r="V26" s="19"/>
      <c r="W26" s="19"/>
      <c r="X26" s="19"/>
      <c r="Y26" s="19"/>
      <c r="Z26" s="19"/>
      <c r="AA26" s="19"/>
      <c r="AB26" s="19"/>
      <c r="AC26" s="19"/>
      <c r="AD26" s="170" t="s">
        <v>74</v>
      </c>
      <c r="AE26" s="171"/>
      <c r="AF26" s="171"/>
      <c r="AG26" s="11"/>
      <c r="AH26" s="11"/>
      <c r="AI26" s="11"/>
      <c r="AJ26" s="11"/>
      <c r="AK26" s="11"/>
      <c r="AL26" s="11"/>
      <c r="AM26" s="11"/>
      <c r="AN26" s="10" t="s">
        <v>214</v>
      </c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0" t="s">
        <v>215</v>
      </c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32"/>
      <c r="BQ26" s="131"/>
      <c r="BR26" s="131"/>
      <c r="BS26" s="131"/>
      <c r="BT26" s="131"/>
      <c r="BU26" s="133"/>
    </row>
    <row r="27" spans="1:73" ht="17.25" customHeight="1">
      <c r="A27" s="128"/>
      <c r="B27" s="25" t="s">
        <v>219</v>
      </c>
      <c r="C27" s="3">
        <v>1</v>
      </c>
      <c r="D27" s="4">
        <f t="shared" si="2"/>
        <v>1</v>
      </c>
      <c r="E27" s="5">
        <v>45954</v>
      </c>
      <c r="F27" s="5">
        <v>45954</v>
      </c>
      <c r="G27" s="6" t="s">
        <v>128</v>
      </c>
      <c r="H27" s="1"/>
      <c r="I27" s="1"/>
      <c r="J27" s="1"/>
      <c r="K27" s="50"/>
      <c r="L27" s="19"/>
      <c r="M27" s="19"/>
      <c r="N27" s="19"/>
      <c r="O27" s="165" t="s">
        <v>73</v>
      </c>
      <c r="P27" s="165"/>
      <c r="Q27" s="22"/>
      <c r="R27" s="22"/>
      <c r="S27" s="10" t="s">
        <v>212</v>
      </c>
      <c r="T27" s="22"/>
      <c r="U27" s="22"/>
      <c r="V27" s="19"/>
      <c r="W27" s="19"/>
      <c r="X27" s="19"/>
      <c r="Y27" s="19"/>
      <c r="Z27" s="19"/>
      <c r="AA27" s="19"/>
      <c r="AB27" s="19"/>
      <c r="AC27" s="19"/>
      <c r="AD27" s="170" t="s">
        <v>74</v>
      </c>
      <c r="AE27" s="171"/>
      <c r="AF27" s="171"/>
      <c r="AG27" s="11"/>
      <c r="AH27" s="11"/>
      <c r="AI27" s="11"/>
      <c r="AJ27" s="11"/>
      <c r="AK27" s="11"/>
      <c r="AL27" s="11"/>
      <c r="AM27" s="11"/>
      <c r="AN27" s="10" t="s">
        <v>214</v>
      </c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0" t="s">
        <v>215</v>
      </c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32"/>
      <c r="BQ27" s="132"/>
      <c r="BR27" s="132"/>
      <c r="BS27" s="132"/>
      <c r="BT27" s="132"/>
      <c r="BU27" s="137"/>
    </row>
    <row r="28" spans="1:73" ht="17.25" customHeight="1">
      <c r="A28" s="128"/>
      <c r="B28" s="25" t="s">
        <v>220</v>
      </c>
      <c r="C28" s="3">
        <v>1</v>
      </c>
      <c r="D28" s="4">
        <f t="shared" si="2"/>
        <v>2</v>
      </c>
      <c r="E28" s="5">
        <v>45954</v>
      </c>
      <c r="F28" s="5">
        <v>45955</v>
      </c>
      <c r="G28" s="6" t="s">
        <v>128</v>
      </c>
      <c r="H28" s="1"/>
      <c r="I28" s="1"/>
      <c r="J28" s="1"/>
      <c r="K28" s="50"/>
      <c r="L28" s="50"/>
      <c r="M28" s="19"/>
      <c r="N28" s="19"/>
      <c r="O28" s="165" t="s">
        <v>73</v>
      </c>
      <c r="P28" s="165"/>
      <c r="Q28" s="22"/>
      <c r="R28" s="22"/>
      <c r="S28" s="10" t="s">
        <v>212</v>
      </c>
      <c r="T28" s="22"/>
      <c r="U28" s="22"/>
      <c r="V28" s="19"/>
      <c r="W28" s="19"/>
      <c r="X28" s="19"/>
      <c r="Y28" s="19"/>
      <c r="Z28" s="19"/>
      <c r="AA28" s="19"/>
      <c r="AB28" s="19"/>
      <c r="AC28" s="19"/>
      <c r="AD28" s="170" t="s">
        <v>74</v>
      </c>
      <c r="AE28" s="171"/>
      <c r="AF28" s="171"/>
      <c r="AG28" s="11"/>
      <c r="AH28" s="11"/>
      <c r="AI28" s="11"/>
      <c r="AJ28" s="11"/>
      <c r="AK28" s="11"/>
      <c r="AL28" s="11"/>
      <c r="AM28" s="11"/>
      <c r="AN28" s="10" t="s">
        <v>214</v>
      </c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0" t="s">
        <v>215</v>
      </c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32"/>
      <c r="BQ28" s="132"/>
      <c r="BR28" s="132"/>
      <c r="BS28" s="132"/>
      <c r="BT28" s="132"/>
      <c r="BU28" s="137"/>
    </row>
    <row r="29" spans="1:73" ht="17.25" customHeight="1">
      <c r="A29" s="128"/>
      <c r="B29" s="25" t="s">
        <v>221</v>
      </c>
      <c r="C29" s="3">
        <v>1</v>
      </c>
      <c r="D29" s="4">
        <f t="shared" si="2"/>
        <v>2</v>
      </c>
      <c r="E29" s="5">
        <v>45955</v>
      </c>
      <c r="F29" s="5">
        <v>45956</v>
      </c>
      <c r="G29" s="6" t="s">
        <v>128</v>
      </c>
      <c r="H29" s="1"/>
      <c r="I29" s="1"/>
      <c r="J29" s="1"/>
      <c r="K29" s="19"/>
      <c r="L29" s="50"/>
      <c r="M29" s="50"/>
      <c r="N29" s="19"/>
      <c r="O29" s="165" t="s">
        <v>73</v>
      </c>
      <c r="P29" s="165"/>
      <c r="Q29" s="22"/>
      <c r="R29" s="22"/>
      <c r="S29" s="10" t="s">
        <v>212</v>
      </c>
      <c r="T29" s="22"/>
      <c r="U29" s="22"/>
      <c r="V29" s="19"/>
      <c r="W29" s="19"/>
      <c r="X29" s="19"/>
      <c r="Y29" s="19"/>
      <c r="Z29" s="19"/>
      <c r="AA29" s="19"/>
      <c r="AB29" s="19"/>
      <c r="AC29" s="19"/>
      <c r="AD29" s="170" t="s">
        <v>74</v>
      </c>
      <c r="AE29" s="171"/>
      <c r="AF29" s="171"/>
      <c r="AG29" s="11"/>
      <c r="AH29" s="11"/>
      <c r="AI29" s="11"/>
      <c r="AJ29" s="11"/>
      <c r="AK29" s="11"/>
      <c r="AL29" s="11"/>
      <c r="AM29" s="11"/>
      <c r="AN29" s="10" t="s">
        <v>214</v>
      </c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0" t="s">
        <v>215</v>
      </c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32"/>
      <c r="BQ29" s="132"/>
      <c r="BR29" s="132"/>
      <c r="BS29" s="132"/>
      <c r="BT29" s="132"/>
      <c r="BU29" s="137"/>
    </row>
    <row r="30" spans="1:73" ht="17.25" customHeight="1">
      <c r="A30" s="128"/>
      <c r="B30" s="25" t="s">
        <v>222</v>
      </c>
      <c r="C30" s="3">
        <v>1</v>
      </c>
      <c r="D30" s="4">
        <f t="shared" si="2"/>
        <v>1</v>
      </c>
      <c r="E30" s="5">
        <v>45956</v>
      </c>
      <c r="F30" s="5">
        <v>45956</v>
      </c>
      <c r="G30" s="6" t="s">
        <v>128</v>
      </c>
      <c r="H30" s="1"/>
      <c r="I30" s="1"/>
      <c r="J30" s="1"/>
      <c r="K30" s="19"/>
      <c r="L30" s="19"/>
      <c r="M30" s="50"/>
      <c r="N30" s="19"/>
      <c r="O30" s="165" t="s">
        <v>73</v>
      </c>
      <c r="P30" s="165"/>
      <c r="Q30" s="22"/>
      <c r="R30" s="22"/>
      <c r="S30" s="10" t="s">
        <v>212</v>
      </c>
      <c r="T30" s="22"/>
      <c r="U30" s="22"/>
      <c r="V30" s="19"/>
      <c r="W30" s="19"/>
      <c r="X30" s="19"/>
      <c r="Y30" s="19"/>
      <c r="Z30" s="19"/>
      <c r="AA30" s="19"/>
      <c r="AB30" s="19"/>
      <c r="AC30" s="19"/>
      <c r="AD30" s="170" t="s">
        <v>74</v>
      </c>
      <c r="AE30" s="171"/>
      <c r="AF30" s="171"/>
      <c r="AG30" s="11"/>
      <c r="AH30" s="11"/>
      <c r="AI30" s="11"/>
      <c r="AJ30" s="11"/>
      <c r="AK30" s="11"/>
      <c r="AL30" s="11"/>
      <c r="AM30" s="11"/>
      <c r="AN30" s="10" t="s">
        <v>214</v>
      </c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0" t="s">
        <v>215</v>
      </c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32"/>
      <c r="BQ30" s="132"/>
      <c r="BR30" s="132"/>
      <c r="BS30" s="132"/>
      <c r="BT30" s="132"/>
      <c r="BU30" s="137"/>
    </row>
    <row r="31" spans="1:73" ht="17.25" customHeight="1">
      <c r="A31" s="128"/>
      <c r="B31" s="122" t="s">
        <v>196</v>
      </c>
      <c r="C31" s="3">
        <v>1</v>
      </c>
      <c r="D31" s="4">
        <f t="shared" si="2"/>
        <v>1</v>
      </c>
      <c r="E31" s="5">
        <f>MIN(E32:E38)</f>
        <v>45961</v>
      </c>
      <c r="F31" s="5">
        <f>MAX(F32:F38)</f>
        <v>45961</v>
      </c>
      <c r="G31" s="6" t="s">
        <v>189</v>
      </c>
      <c r="H31" s="2"/>
      <c r="I31" s="1"/>
      <c r="J31" s="2"/>
      <c r="K31" s="1"/>
      <c r="L31" s="1"/>
      <c r="M31" s="1"/>
      <c r="N31" s="19"/>
      <c r="O31" s="165" t="s">
        <v>73</v>
      </c>
      <c r="P31" s="165"/>
      <c r="Q31" s="22"/>
      <c r="R31" s="9"/>
      <c r="S31" s="10" t="s">
        <v>212</v>
      </c>
      <c r="T31" s="22"/>
      <c r="U31" s="22"/>
      <c r="V31" s="19"/>
      <c r="W31" s="19"/>
      <c r="X31" s="19"/>
      <c r="Y31" s="19"/>
      <c r="Z31" s="19"/>
      <c r="AA31" s="19"/>
      <c r="AB31" s="19"/>
      <c r="AC31" s="19"/>
      <c r="AD31" s="170" t="s">
        <v>74</v>
      </c>
      <c r="AE31" s="171"/>
      <c r="AF31" s="171"/>
      <c r="AG31" s="11"/>
      <c r="AH31" s="11"/>
      <c r="AI31" s="11"/>
      <c r="AJ31" s="11"/>
      <c r="AK31" s="11"/>
      <c r="AL31" s="11"/>
      <c r="AM31" s="11"/>
      <c r="AN31" s="10" t="s">
        <v>214</v>
      </c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0" t="s">
        <v>215</v>
      </c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32"/>
      <c r="BQ31" s="131"/>
      <c r="BR31" s="131"/>
      <c r="BS31" s="131"/>
      <c r="BT31" s="131"/>
      <c r="BU31" s="133"/>
    </row>
    <row r="32" spans="1:73" ht="17.25" customHeight="1">
      <c r="A32" s="128"/>
      <c r="B32" s="26" t="s">
        <v>223</v>
      </c>
      <c r="C32" s="3">
        <v>1</v>
      </c>
      <c r="D32" s="4">
        <f t="shared" si="2"/>
        <v>1</v>
      </c>
      <c r="E32" s="5">
        <v>45961</v>
      </c>
      <c r="F32" s="5">
        <v>45961</v>
      </c>
      <c r="G32" s="27" t="s">
        <v>197</v>
      </c>
      <c r="H32" s="1"/>
      <c r="I32" s="1"/>
      <c r="J32" s="1"/>
      <c r="K32" s="1"/>
      <c r="L32" s="1"/>
      <c r="M32" s="1"/>
      <c r="N32" s="19"/>
      <c r="O32" s="165" t="s">
        <v>73</v>
      </c>
      <c r="P32" s="165"/>
      <c r="Q32" s="22"/>
      <c r="R32" s="7"/>
      <c r="S32" s="10" t="s">
        <v>212</v>
      </c>
      <c r="T32" s="22"/>
      <c r="U32" s="22"/>
      <c r="V32" s="19"/>
      <c r="W32" s="19"/>
      <c r="X32" s="19"/>
      <c r="Y32" s="19"/>
      <c r="Z32" s="19"/>
      <c r="AA32" s="19"/>
      <c r="AB32" s="19"/>
      <c r="AC32" s="19"/>
      <c r="AD32" s="170" t="s">
        <v>74</v>
      </c>
      <c r="AE32" s="171"/>
      <c r="AF32" s="171"/>
      <c r="AG32" s="11"/>
      <c r="AH32" s="11"/>
      <c r="AI32" s="11"/>
      <c r="AJ32" s="11"/>
      <c r="AK32" s="11"/>
      <c r="AL32" s="11"/>
      <c r="AM32" s="11"/>
      <c r="AN32" s="10" t="s">
        <v>214</v>
      </c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0" t="s">
        <v>215</v>
      </c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32"/>
      <c r="BQ32" s="131"/>
      <c r="BR32" s="131"/>
      <c r="BS32" s="131"/>
      <c r="BT32" s="131"/>
      <c r="BU32" s="133"/>
    </row>
    <row r="33" spans="1:73" ht="17.25" customHeight="1">
      <c r="A33" s="128"/>
      <c r="B33" s="26" t="s">
        <v>224</v>
      </c>
      <c r="C33" s="3">
        <v>1</v>
      </c>
      <c r="D33" s="4">
        <f t="shared" si="2"/>
        <v>1</v>
      </c>
      <c r="E33" s="5">
        <v>45961</v>
      </c>
      <c r="F33" s="5">
        <v>45961</v>
      </c>
      <c r="G33" s="6" t="s">
        <v>129</v>
      </c>
      <c r="H33" s="1"/>
      <c r="I33" s="1"/>
      <c r="J33" s="1"/>
      <c r="K33" s="1"/>
      <c r="L33" s="1"/>
      <c r="M33" s="1"/>
      <c r="N33" s="19"/>
      <c r="O33" s="165" t="s">
        <v>73</v>
      </c>
      <c r="P33" s="165"/>
      <c r="Q33" s="22"/>
      <c r="R33" s="7"/>
      <c r="S33" s="10" t="s">
        <v>212</v>
      </c>
      <c r="T33" s="22"/>
      <c r="U33" s="22"/>
      <c r="V33" s="19"/>
      <c r="W33" s="19"/>
      <c r="X33" s="19"/>
      <c r="Y33" s="19"/>
      <c r="Z33" s="19"/>
      <c r="AA33" s="19"/>
      <c r="AB33" s="19"/>
      <c r="AC33" s="19"/>
      <c r="AD33" s="170" t="s">
        <v>74</v>
      </c>
      <c r="AE33" s="171"/>
      <c r="AF33" s="171"/>
      <c r="AG33" s="11"/>
      <c r="AH33" s="11"/>
      <c r="AI33" s="11"/>
      <c r="AJ33" s="11"/>
      <c r="AK33" s="11"/>
      <c r="AL33" s="11"/>
      <c r="AM33" s="11"/>
      <c r="AN33" s="10" t="s">
        <v>214</v>
      </c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0" t="s">
        <v>215</v>
      </c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32"/>
      <c r="BQ33" s="132"/>
      <c r="BR33" s="132"/>
      <c r="BS33" s="132"/>
      <c r="BT33" s="132"/>
      <c r="BU33" s="137"/>
    </row>
    <row r="34" spans="1:73" ht="17.25" customHeight="1" outlineLevel="1">
      <c r="A34" s="128"/>
      <c r="B34" s="28" t="s">
        <v>225</v>
      </c>
      <c r="C34" s="3">
        <v>1</v>
      </c>
      <c r="D34" s="4">
        <f t="shared" si="2"/>
        <v>1</v>
      </c>
      <c r="E34" s="5">
        <v>45961</v>
      </c>
      <c r="F34" s="5">
        <v>45961</v>
      </c>
      <c r="G34" s="6" t="s">
        <v>128</v>
      </c>
      <c r="H34" s="1"/>
      <c r="I34" s="1"/>
      <c r="J34" s="1"/>
      <c r="K34" s="1"/>
      <c r="L34" s="1"/>
      <c r="M34" s="1"/>
      <c r="N34" s="19"/>
      <c r="O34" s="165" t="s">
        <v>73</v>
      </c>
      <c r="P34" s="165"/>
      <c r="Q34" s="17"/>
      <c r="R34" s="7"/>
      <c r="S34" s="10" t="s">
        <v>212</v>
      </c>
      <c r="T34" s="22"/>
      <c r="U34" s="22"/>
      <c r="V34" s="19"/>
      <c r="W34" s="19"/>
      <c r="X34" s="19"/>
      <c r="Y34" s="19"/>
      <c r="Z34" s="19"/>
      <c r="AA34" s="19"/>
      <c r="AB34" s="19"/>
      <c r="AC34" s="19"/>
      <c r="AD34" s="170" t="s">
        <v>74</v>
      </c>
      <c r="AE34" s="171"/>
      <c r="AF34" s="171"/>
      <c r="AG34" s="11"/>
      <c r="AH34" s="11"/>
      <c r="AI34" s="11"/>
      <c r="AJ34" s="11"/>
      <c r="AK34" s="11"/>
      <c r="AL34" s="11"/>
      <c r="AM34" s="11"/>
      <c r="AN34" s="10" t="s">
        <v>214</v>
      </c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0" t="s">
        <v>215</v>
      </c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32"/>
      <c r="BQ34" s="131"/>
      <c r="BR34" s="131"/>
      <c r="BS34" s="131"/>
      <c r="BT34" s="131"/>
      <c r="BU34" s="133"/>
    </row>
    <row r="35" spans="1:73" ht="17.25" customHeight="1" outlineLevel="1">
      <c r="A35" s="128"/>
      <c r="B35" s="28" t="s">
        <v>226</v>
      </c>
      <c r="C35" s="3">
        <v>1</v>
      </c>
      <c r="D35" s="4">
        <f t="shared" si="2"/>
        <v>1</v>
      </c>
      <c r="E35" s="5">
        <v>45961</v>
      </c>
      <c r="F35" s="5">
        <v>45961</v>
      </c>
      <c r="G35" s="6" t="s">
        <v>133</v>
      </c>
      <c r="H35" s="1"/>
      <c r="I35" s="1"/>
      <c r="J35" s="1"/>
      <c r="K35" s="1"/>
      <c r="L35" s="1"/>
      <c r="M35" s="1"/>
      <c r="N35" s="19"/>
      <c r="O35" s="165" t="s">
        <v>73</v>
      </c>
      <c r="P35" s="165"/>
      <c r="Q35" s="17"/>
      <c r="R35" s="7"/>
      <c r="S35" s="10" t="s">
        <v>212</v>
      </c>
      <c r="T35" s="22"/>
      <c r="U35" s="22"/>
      <c r="V35" s="19"/>
      <c r="W35" s="19"/>
      <c r="X35" s="19"/>
      <c r="Y35" s="19"/>
      <c r="Z35" s="19"/>
      <c r="AA35" s="19"/>
      <c r="AB35" s="19"/>
      <c r="AC35" s="19"/>
      <c r="AD35" s="170" t="s">
        <v>74</v>
      </c>
      <c r="AE35" s="171"/>
      <c r="AF35" s="171"/>
      <c r="AG35" s="11"/>
      <c r="AH35" s="11"/>
      <c r="AI35" s="11"/>
      <c r="AJ35" s="11"/>
      <c r="AK35" s="11"/>
      <c r="AL35" s="11"/>
      <c r="AM35" s="11"/>
      <c r="AN35" s="10" t="s">
        <v>214</v>
      </c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0" t="s">
        <v>215</v>
      </c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32"/>
      <c r="BQ35" s="132"/>
      <c r="BR35" s="132"/>
      <c r="BS35" s="132"/>
      <c r="BT35" s="132"/>
      <c r="BU35" s="137"/>
    </row>
    <row r="36" spans="1:73" ht="17.25" customHeight="1" outlineLevel="1">
      <c r="A36" s="128"/>
      <c r="B36" s="28" t="s">
        <v>227</v>
      </c>
      <c r="C36" s="3">
        <v>1</v>
      </c>
      <c r="D36" s="4">
        <f t="shared" si="2"/>
        <v>1</v>
      </c>
      <c r="E36" s="5">
        <v>45961</v>
      </c>
      <c r="F36" s="5">
        <v>45961</v>
      </c>
      <c r="G36" s="6" t="s">
        <v>134</v>
      </c>
      <c r="H36" s="1"/>
      <c r="I36" s="1"/>
      <c r="J36" s="1"/>
      <c r="K36" s="1"/>
      <c r="L36" s="1"/>
      <c r="M36" s="1"/>
      <c r="N36" s="19"/>
      <c r="O36" s="165" t="s">
        <v>73</v>
      </c>
      <c r="P36" s="165"/>
      <c r="Q36" s="17"/>
      <c r="R36" s="7"/>
      <c r="S36" s="10" t="s">
        <v>212</v>
      </c>
      <c r="T36" s="22"/>
      <c r="U36" s="22"/>
      <c r="V36" s="19"/>
      <c r="W36" s="19"/>
      <c r="X36" s="19"/>
      <c r="Y36" s="19"/>
      <c r="Z36" s="19"/>
      <c r="AA36" s="19"/>
      <c r="AB36" s="19"/>
      <c r="AC36" s="19"/>
      <c r="AD36" s="170" t="s">
        <v>74</v>
      </c>
      <c r="AE36" s="171"/>
      <c r="AF36" s="171"/>
      <c r="AG36" s="11"/>
      <c r="AH36" s="11"/>
      <c r="AI36" s="11"/>
      <c r="AJ36" s="11"/>
      <c r="AK36" s="11"/>
      <c r="AL36" s="11"/>
      <c r="AM36" s="11"/>
      <c r="AN36" s="10" t="s">
        <v>214</v>
      </c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0" t="s">
        <v>215</v>
      </c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32"/>
      <c r="BQ36" s="132"/>
      <c r="BR36" s="132"/>
      <c r="BS36" s="132"/>
      <c r="BT36" s="132"/>
      <c r="BU36" s="137"/>
    </row>
    <row r="37" spans="1:73" ht="17.25" customHeight="1" outlineLevel="1">
      <c r="A37" s="128"/>
      <c r="B37" s="29" t="s">
        <v>229</v>
      </c>
      <c r="C37" s="3">
        <v>1</v>
      </c>
      <c r="D37" s="4">
        <f t="shared" si="2"/>
        <v>1</v>
      </c>
      <c r="E37" s="5">
        <v>45961</v>
      </c>
      <c r="F37" s="5">
        <v>45961</v>
      </c>
      <c r="G37" s="6" t="s">
        <v>129</v>
      </c>
      <c r="H37" s="1"/>
      <c r="I37" s="1"/>
      <c r="J37" s="1"/>
      <c r="K37" s="1"/>
      <c r="L37" s="1"/>
      <c r="M37" s="1"/>
      <c r="N37" s="19"/>
      <c r="O37" s="165" t="s">
        <v>73</v>
      </c>
      <c r="P37" s="165"/>
      <c r="Q37" s="17"/>
      <c r="R37" s="7"/>
      <c r="S37" s="10" t="s">
        <v>212</v>
      </c>
      <c r="T37" s="22"/>
      <c r="U37" s="22"/>
      <c r="V37" s="19"/>
      <c r="W37" s="19"/>
      <c r="X37" s="19"/>
      <c r="Y37" s="19"/>
      <c r="Z37" s="19"/>
      <c r="AA37" s="19"/>
      <c r="AB37" s="19"/>
      <c r="AC37" s="19"/>
      <c r="AD37" s="170" t="s">
        <v>74</v>
      </c>
      <c r="AE37" s="171"/>
      <c r="AF37" s="171"/>
      <c r="AG37" s="11"/>
      <c r="AH37" s="11"/>
      <c r="AI37" s="11"/>
      <c r="AJ37" s="11"/>
      <c r="AK37" s="11"/>
      <c r="AL37" s="11"/>
      <c r="AM37" s="11"/>
      <c r="AN37" s="10" t="s">
        <v>214</v>
      </c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0" t="s">
        <v>215</v>
      </c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32"/>
      <c r="BQ37" s="132"/>
      <c r="BR37" s="132"/>
      <c r="BS37" s="132"/>
      <c r="BT37" s="132"/>
      <c r="BU37" s="137"/>
    </row>
    <row r="38" spans="1:73" ht="17.25" customHeight="1" outlineLevel="1" thickBot="1">
      <c r="A38" s="129"/>
      <c r="B38" s="76" t="s">
        <v>228</v>
      </c>
      <c r="C38" s="64">
        <v>1</v>
      </c>
      <c r="D38" s="65">
        <f t="shared" si="2"/>
        <v>1</v>
      </c>
      <c r="E38" s="66">
        <v>45961</v>
      </c>
      <c r="F38" s="66">
        <v>45961</v>
      </c>
      <c r="G38" s="67" t="s">
        <v>147</v>
      </c>
      <c r="H38" s="70"/>
      <c r="I38" s="70"/>
      <c r="J38" s="70"/>
      <c r="K38" s="70"/>
      <c r="L38" s="70"/>
      <c r="M38" s="70"/>
      <c r="N38" s="71"/>
      <c r="O38" s="166" t="s">
        <v>73</v>
      </c>
      <c r="P38" s="166"/>
      <c r="Q38" s="77"/>
      <c r="R38" s="69"/>
      <c r="S38" s="72" t="s">
        <v>212</v>
      </c>
      <c r="T38" s="78"/>
      <c r="U38" s="78"/>
      <c r="V38" s="71"/>
      <c r="W38" s="71"/>
      <c r="X38" s="71"/>
      <c r="Y38" s="71"/>
      <c r="Z38" s="71"/>
      <c r="AA38" s="71"/>
      <c r="AB38" s="71"/>
      <c r="AC38" s="71"/>
      <c r="AD38" s="172" t="s">
        <v>74</v>
      </c>
      <c r="AE38" s="173"/>
      <c r="AF38" s="173"/>
      <c r="AG38" s="73"/>
      <c r="AH38" s="73"/>
      <c r="AI38" s="73"/>
      <c r="AJ38" s="73"/>
      <c r="AK38" s="73"/>
      <c r="AL38" s="73"/>
      <c r="AM38" s="73"/>
      <c r="AN38" s="72" t="s">
        <v>214</v>
      </c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2" t="s">
        <v>215</v>
      </c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148"/>
      <c r="BQ38" s="148"/>
      <c r="BR38" s="148"/>
      <c r="BS38" s="148"/>
      <c r="BT38" s="148"/>
      <c r="BU38" s="162"/>
    </row>
    <row r="39" spans="1:73" ht="17.25" customHeight="1">
      <c r="A39" s="127" t="s">
        <v>111</v>
      </c>
      <c r="B39" s="79" t="s">
        <v>83</v>
      </c>
      <c r="C39" s="53">
        <v>1</v>
      </c>
      <c r="D39" s="54">
        <f t="shared" si="2"/>
        <v>26</v>
      </c>
      <c r="E39" s="55">
        <f>MIN(E40:E85)</f>
        <v>45963</v>
      </c>
      <c r="F39" s="55">
        <f>MAX(F40:F85)</f>
        <v>45988</v>
      </c>
      <c r="G39" s="56" t="s">
        <v>189</v>
      </c>
      <c r="H39" s="60"/>
      <c r="I39" s="60"/>
      <c r="J39" s="60"/>
      <c r="K39" s="60"/>
      <c r="L39" s="60"/>
      <c r="M39" s="60"/>
      <c r="N39" s="60"/>
      <c r="O39" s="167" t="s">
        <v>73</v>
      </c>
      <c r="P39" s="167"/>
      <c r="Q39" s="80"/>
      <c r="R39" s="80"/>
      <c r="S39" s="61" t="s">
        <v>212</v>
      </c>
      <c r="T39" s="80"/>
      <c r="U39" s="80"/>
      <c r="V39" s="60"/>
      <c r="W39" s="60"/>
      <c r="X39" s="60"/>
      <c r="Y39" s="60"/>
      <c r="Z39" s="60"/>
      <c r="AA39" s="60"/>
      <c r="AB39" s="60"/>
      <c r="AC39" s="60"/>
      <c r="AD39" s="126" t="s">
        <v>74</v>
      </c>
      <c r="AE39" s="146"/>
      <c r="AF39" s="146"/>
      <c r="AG39" s="62"/>
      <c r="AH39" s="62"/>
      <c r="AI39" s="62"/>
      <c r="AJ39" s="62"/>
      <c r="AK39" s="62"/>
      <c r="AL39" s="62"/>
      <c r="AM39" s="62"/>
      <c r="AN39" s="61" t="s">
        <v>214</v>
      </c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1" t="s">
        <v>215</v>
      </c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143"/>
      <c r="BQ39" s="146"/>
      <c r="BR39" s="146"/>
      <c r="BS39" s="146"/>
      <c r="BT39" s="146"/>
      <c r="BU39" s="147"/>
    </row>
    <row r="40" spans="1:73" ht="17.25" customHeight="1">
      <c r="A40" s="128"/>
      <c r="B40" s="31" t="s">
        <v>84</v>
      </c>
      <c r="C40" s="3">
        <v>1</v>
      </c>
      <c r="D40" s="4">
        <f t="shared" si="2"/>
        <v>5</v>
      </c>
      <c r="E40" s="5">
        <v>45964</v>
      </c>
      <c r="F40" s="5">
        <v>45968</v>
      </c>
      <c r="G40" s="6" t="s">
        <v>122</v>
      </c>
      <c r="H40" s="1"/>
      <c r="I40" s="1"/>
      <c r="J40" s="1"/>
      <c r="K40" s="1"/>
      <c r="L40" s="1"/>
      <c r="M40" s="1"/>
      <c r="N40" s="1"/>
      <c r="O40" s="165" t="s">
        <v>73</v>
      </c>
      <c r="P40" s="165"/>
      <c r="Q40" s="15"/>
      <c r="R40" s="14"/>
      <c r="S40" s="10" t="s">
        <v>212</v>
      </c>
      <c r="T40" s="15"/>
      <c r="U40" s="15"/>
      <c r="V40" s="1"/>
      <c r="W40" s="1"/>
      <c r="X40" s="1"/>
      <c r="Y40" s="1"/>
      <c r="Z40" s="1"/>
      <c r="AA40" s="1"/>
      <c r="AB40" s="1"/>
      <c r="AC40" s="1"/>
      <c r="AD40" s="170" t="s">
        <v>74</v>
      </c>
      <c r="AE40" s="171"/>
      <c r="AF40" s="171"/>
      <c r="AG40" s="11"/>
      <c r="AH40" s="11"/>
      <c r="AI40" s="11"/>
      <c r="AJ40" s="11"/>
      <c r="AK40" s="11"/>
      <c r="AL40" s="11"/>
      <c r="AM40" s="11"/>
      <c r="AN40" s="10" t="s">
        <v>213</v>
      </c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0" t="s">
        <v>215</v>
      </c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32"/>
      <c r="BQ40" s="131"/>
      <c r="BR40" s="131"/>
      <c r="BS40" s="131"/>
      <c r="BT40" s="131"/>
      <c r="BU40" s="133"/>
    </row>
    <row r="41" spans="1:73" ht="17.25" customHeight="1">
      <c r="A41" s="128"/>
      <c r="B41" s="102" t="s">
        <v>230</v>
      </c>
      <c r="C41" s="3">
        <v>1</v>
      </c>
      <c r="D41" s="4">
        <f t="shared" si="2"/>
        <v>5</v>
      </c>
      <c r="E41" s="5">
        <v>45964</v>
      </c>
      <c r="F41" s="5">
        <v>45968</v>
      </c>
      <c r="G41" s="6" t="s">
        <v>122</v>
      </c>
      <c r="H41" s="1"/>
      <c r="I41" s="1"/>
      <c r="J41" s="1"/>
      <c r="K41" s="1"/>
      <c r="L41" s="1"/>
      <c r="M41" s="1"/>
      <c r="N41" s="1"/>
      <c r="O41" s="165" t="s">
        <v>73</v>
      </c>
      <c r="P41" s="165"/>
      <c r="Q41" s="15"/>
      <c r="R41" s="15"/>
      <c r="S41" s="10" t="s">
        <v>212</v>
      </c>
      <c r="T41" s="15"/>
      <c r="U41" s="15"/>
      <c r="V41" s="1"/>
      <c r="W41" s="1"/>
      <c r="X41" s="1"/>
      <c r="Y41" s="1"/>
      <c r="Z41" s="1"/>
      <c r="AA41" s="1"/>
      <c r="AB41" s="1"/>
      <c r="AC41" s="1"/>
      <c r="AD41" s="170" t="s">
        <v>74</v>
      </c>
      <c r="AE41" s="170"/>
      <c r="AF41" s="170"/>
      <c r="AG41" s="11"/>
      <c r="AH41" s="11"/>
      <c r="AI41" s="11"/>
      <c r="AJ41" s="11"/>
      <c r="AK41" s="11"/>
      <c r="AL41" s="11"/>
      <c r="AM41" s="11"/>
      <c r="AN41" s="10" t="s">
        <v>214</v>
      </c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0" t="s">
        <v>215</v>
      </c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32"/>
      <c r="BQ41" s="131"/>
      <c r="BR41" s="131"/>
      <c r="BS41" s="131"/>
      <c r="BT41" s="131"/>
      <c r="BU41" s="133"/>
    </row>
    <row r="42" spans="1:73" ht="17.25" customHeight="1">
      <c r="A42" s="128"/>
      <c r="B42" s="103" t="s">
        <v>114</v>
      </c>
      <c r="C42" s="3">
        <v>1</v>
      </c>
      <c r="D42" s="4">
        <f t="shared" si="2"/>
        <v>2</v>
      </c>
      <c r="E42" s="5">
        <v>45964</v>
      </c>
      <c r="F42" s="5">
        <v>45965</v>
      </c>
      <c r="G42" s="6" t="s">
        <v>122</v>
      </c>
      <c r="H42" s="1"/>
      <c r="I42" s="1"/>
      <c r="J42" s="1"/>
      <c r="K42" s="1"/>
      <c r="L42" s="1"/>
      <c r="M42" s="1"/>
      <c r="N42" s="1"/>
      <c r="O42" s="165" t="s">
        <v>73</v>
      </c>
      <c r="P42" s="165"/>
      <c r="Q42" s="15"/>
      <c r="R42" s="15"/>
      <c r="S42" s="10" t="s">
        <v>212</v>
      </c>
      <c r="T42" s="15"/>
      <c r="U42" s="15"/>
      <c r="V42" s="1"/>
      <c r="W42" s="1"/>
      <c r="X42" s="1"/>
      <c r="Y42" s="1"/>
      <c r="Z42" s="1"/>
      <c r="AA42" s="1"/>
      <c r="AB42" s="1"/>
      <c r="AC42" s="1"/>
      <c r="AD42" s="170" t="s">
        <v>74</v>
      </c>
      <c r="AE42" s="170"/>
      <c r="AF42" s="170"/>
      <c r="AG42" s="11"/>
      <c r="AH42" s="11"/>
      <c r="AI42" s="11"/>
      <c r="AJ42" s="11"/>
      <c r="AK42" s="11"/>
      <c r="AL42" s="11"/>
      <c r="AM42" s="11"/>
      <c r="AN42" s="10" t="s">
        <v>214</v>
      </c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0" t="s">
        <v>215</v>
      </c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32"/>
      <c r="BQ42" s="132"/>
      <c r="BR42" s="132"/>
      <c r="BS42" s="132"/>
      <c r="BT42" s="132"/>
      <c r="BU42" s="137"/>
    </row>
    <row r="43" spans="1:73" ht="17.25" customHeight="1">
      <c r="A43" s="128"/>
      <c r="B43" s="103" t="s">
        <v>115</v>
      </c>
      <c r="C43" s="3">
        <v>1</v>
      </c>
      <c r="D43" s="4">
        <f t="shared" si="2"/>
        <v>2</v>
      </c>
      <c r="E43" s="5">
        <v>45964</v>
      </c>
      <c r="F43" s="5">
        <v>45965</v>
      </c>
      <c r="G43" s="6" t="s">
        <v>122</v>
      </c>
      <c r="H43" s="1"/>
      <c r="I43" s="1"/>
      <c r="J43" s="1"/>
      <c r="K43" s="1"/>
      <c r="L43" s="1"/>
      <c r="M43" s="1"/>
      <c r="N43" s="1"/>
      <c r="O43" s="165" t="s">
        <v>73</v>
      </c>
      <c r="P43" s="165"/>
      <c r="Q43" s="15"/>
      <c r="R43" s="15"/>
      <c r="S43" s="10" t="s">
        <v>212</v>
      </c>
      <c r="T43" s="15"/>
      <c r="U43" s="15"/>
      <c r="V43" s="1"/>
      <c r="W43" s="1"/>
      <c r="X43" s="1"/>
      <c r="Y43" s="1"/>
      <c r="Z43" s="1"/>
      <c r="AA43" s="1"/>
      <c r="AB43" s="1"/>
      <c r="AC43" s="1"/>
      <c r="AD43" s="170" t="s">
        <v>74</v>
      </c>
      <c r="AE43" s="170"/>
      <c r="AF43" s="170"/>
      <c r="AG43" s="11"/>
      <c r="AH43" s="11"/>
      <c r="AI43" s="11"/>
      <c r="AJ43" s="11"/>
      <c r="AK43" s="11"/>
      <c r="AL43" s="11"/>
      <c r="AM43" s="11"/>
      <c r="AN43" s="10" t="s">
        <v>214</v>
      </c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0" t="s">
        <v>215</v>
      </c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32"/>
      <c r="BQ43" s="132"/>
      <c r="BR43" s="132"/>
      <c r="BS43" s="132"/>
      <c r="BT43" s="132"/>
      <c r="BU43" s="137"/>
    </row>
    <row r="44" spans="1:73" ht="17.25" customHeight="1">
      <c r="A44" s="128"/>
      <c r="B44" s="104" t="s">
        <v>119</v>
      </c>
      <c r="C44" s="3">
        <v>1</v>
      </c>
      <c r="D44" s="4">
        <f t="shared" si="2"/>
        <v>1</v>
      </c>
      <c r="E44" s="5">
        <v>45964</v>
      </c>
      <c r="F44" s="5">
        <v>45964</v>
      </c>
      <c r="G44" s="6" t="s">
        <v>123</v>
      </c>
      <c r="H44" s="1"/>
      <c r="I44" s="1"/>
      <c r="J44" s="1"/>
      <c r="K44" s="1"/>
      <c r="L44" s="1"/>
      <c r="M44" s="1"/>
      <c r="N44" s="1"/>
      <c r="O44" s="165" t="s">
        <v>73</v>
      </c>
      <c r="P44" s="165"/>
      <c r="Q44" s="15"/>
      <c r="R44" s="15"/>
      <c r="S44" s="10" t="s">
        <v>212</v>
      </c>
      <c r="T44" s="15"/>
      <c r="U44" s="15"/>
      <c r="V44" s="1"/>
      <c r="W44" s="1"/>
      <c r="X44" s="1"/>
      <c r="Y44" s="1"/>
      <c r="Z44" s="1"/>
      <c r="AA44" s="1"/>
      <c r="AB44" s="1"/>
      <c r="AC44" s="1"/>
      <c r="AD44" s="170" t="s">
        <v>74</v>
      </c>
      <c r="AE44" s="171"/>
      <c r="AF44" s="171"/>
      <c r="AG44" s="11"/>
      <c r="AH44" s="11"/>
      <c r="AI44" s="11"/>
      <c r="AJ44" s="11"/>
      <c r="AK44" s="11"/>
      <c r="AL44" s="11"/>
      <c r="AM44" s="11"/>
      <c r="AN44" s="10" t="s">
        <v>214</v>
      </c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0" t="s">
        <v>215</v>
      </c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32"/>
      <c r="BQ44" s="132"/>
      <c r="BR44" s="132"/>
      <c r="BS44" s="132"/>
      <c r="BT44" s="132"/>
      <c r="BU44" s="137"/>
    </row>
    <row r="45" spans="1:73" ht="17.25" customHeight="1">
      <c r="A45" s="128"/>
      <c r="B45" s="105" t="s">
        <v>121</v>
      </c>
      <c r="C45" s="3">
        <v>1</v>
      </c>
      <c r="D45" s="4">
        <f t="shared" si="2"/>
        <v>2</v>
      </c>
      <c r="E45" s="5">
        <v>45981</v>
      </c>
      <c r="F45" s="5">
        <v>45982</v>
      </c>
      <c r="G45" s="6" t="s">
        <v>123</v>
      </c>
      <c r="H45" s="1"/>
      <c r="I45" s="1"/>
      <c r="J45" s="1"/>
      <c r="K45" s="1"/>
      <c r="L45" s="1"/>
      <c r="M45" s="1"/>
      <c r="N45" s="1"/>
      <c r="O45" s="165" t="s">
        <v>73</v>
      </c>
      <c r="P45" s="165"/>
      <c r="Q45" s="15"/>
      <c r="R45" s="15"/>
      <c r="S45" s="10" t="s">
        <v>212</v>
      </c>
      <c r="T45" s="15"/>
      <c r="U45" s="15"/>
      <c r="V45" s="1"/>
      <c r="W45" s="1"/>
      <c r="X45" s="1"/>
      <c r="Y45" s="1"/>
      <c r="Z45" s="1"/>
      <c r="AA45" s="1"/>
      <c r="AB45" s="1"/>
      <c r="AC45" s="1"/>
      <c r="AD45" s="170" t="s">
        <v>74</v>
      </c>
      <c r="AE45" s="171"/>
      <c r="AF45" s="171"/>
      <c r="AG45" s="11"/>
      <c r="AH45" s="11"/>
      <c r="AI45" s="11"/>
      <c r="AJ45" s="11"/>
      <c r="AK45" s="11"/>
      <c r="AL45" s="11"/>
      <c r="AM45" s="11"/>
      <c r="AN45" s="10" t="s">
        <v>214</v>
      </c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0" t="s">
        <v>215</v>
      </c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32"/>
      <c r="BQ45" s="132"/>
      <c r="BR45" s="132"/>
      <c r="BS45" s="132"/>
      <c r="BT45" s="132"/>
      <c r="BU45" s="137"/>
    </row>
    <row r="46" spans="1:73" ht="17.25" customHeight="1">
      <c r="A46" s="128"/>
      <c r="B46" s="105" t="s">
        <v>120</v>
      </c>
      <c r="C46" s="3">
        <v>1</v>
      </c>
      <c r="D46" s="4">
        <f t="shared" si="2"/>
        <v>2</v>
      </c>
      <c r="E46" s="5">
        <v>45964</v>
      </c>
      <c r="F46" s="5">
        <v>45965</v>
      </c>
      <c r="G46" s="6" t="s">
        <v>122</v>
      </c>
      <c r="H46" s="1"/>
      <c r="I46" s="1"/>
      <c r="J46" s="1"/>
      <c r="K46" s="1"/>
      <c r="L46" s="1"/>
      <c r="M46" s="1"/>
      <c r="N46" s="1"/>
      <c r="O46" s="165" t="s">
        <v>73</v>
      </c>
      <c r="P46" s="165"/>
      <c r="Q46" s="15"/>
      <c r="R46" s="15"/>
      <c r="S46" s="10" t="s">
        <v>212</v>
      </c>
      <c r="T46" s="15"/>
      <c r="U46" s="15"/>
      <c r="V46" s="1"/>
      <c r="W46" s="1"/>
      <c r="X46" s="1"/>
      <c r="Y46" s="1"/>
      <c r="Z46" s="1"/>
      <c r="AA46" s="1"/>
      <c r="AB46" s="1"/>
      <c r="AC46" s="1"/>
      <c r="AD46" s="170" t="s">
        <v>74</v>
      </c>
      <c r="AE46" s="171"/>
      <c r="AF46" s="171"/>
      <c r="AG46" s="11"/>
      <c r="AH46" s="11"/>
      <c r="AI46" s="11"/>
      <c r="AJ46" s="11"/>
      <c r="AK46" s="11"/>
      <c r="AL46" s="11"/>
      <c r="AM46" s="11"/>
      <c r="AN46" s="10" t="s">
        <v>214</v>
      </c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0" t="s">
        <v>215</v>
      </c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32"/>
      <c r="BQ46" s="132"/>
      <c r="BR46" s="132"/>
      <c r="BS46" s="132"/>
      <c r="BT46" s="132"/>
      <c r="BU46" s="137"/>
    </row>
    <row r="47" spans="1:73" ht="17.25" customHeight="1">
      <c r="A47" s="128"/>
      <c r="B47" s="32" t="s">
        <v>85</v>
      </c>
      <c r="C47" s="3">
        <v>1</v>
      </c>
      <c r="D47" s="4">
        <f t="shared" si="2"/>
        <v>5</v>
      </c>
      <c r="E47" s="5">
        <v>45964</v>
      </c>
      <c r="F47" s="5">
        <v>45968</v>
      </c>
      <c r="G47" s="6" t="s">
        <v>129</v>
      </c>
      <c r="H47" s="1"/>
      <c r="I47" s="1"/>
      <c r="J47" s="1"/>
      <c r="K47" s="1"/>
      <c r="L47" s="1"/>
      <c r="M47" s="1"/>
      <c r="N47" s="1"/>
      <c r="O47" s="165" t="s">
        <v>73</v>
      </c>
      <c r="P47" s="165"/>
      <c r="Q47" s="15"/>
      <c r="R47" s="15"/>
      <c r="S47" s="10" t="s">
        <v>212</v>
      </c>
      <c r="T47" s="15"/>
      <c r="U47" s="15"/>
      <c r="V47" s="1"/>
      <c r="W47" s="1"/>
      <c r="X47" s="1"/>
      <c r="Y47" s="1"/>
      <c r="Z47" s="1"/>
      <c r="AA47" s="1"/>
      <c r="AB47" s="1"/>
      <c r="AC47" s="1"/>
      <c r="AD47" s="170" t="s">
        <v>74</v>
      </c>
      <c r="AE47" s="171"/>
      <c r="AF47" s="171"/>
      <c r="AG47" s="11"/>
      <c r="AH47" s="11"/>
      <c r="AI47" s="11"/>
      <c r="AJ47" s="11"/>
      <c r="AK47" s="11"/>
      <c r="AL47" s="11"/>
      <c r="AM47" s="11"/>
      <c r="AN47" s="10" t="s">
        <v>214</v>
      </c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0" t="s">
        <v>215</v>
      </c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32"/>
      <c r="BQ47" s="131"/>
      <c r="BR47" s="131"/>
      <c r="BS47" s="131"/>
      <c r="BT47" s="131"/>
      <c r="BU47" s="133"/>
    </row>
    <row r="48" spans="1:73" ht="17.25" customHeight="1">
      <c r="A48" s="128"/>
      <c r="B48" s="106" t="s">
        <v>124</v>
      </c>
      <c r="C48" s="3">
        <v>1</v>
      </c>
      <c r="D48" s="4">
        <f t="shared" si="2"/>
        <v>5</v>
      </c>
      <c r="E48" s="5">
        <v>45964</v>
      </c>
      <c r="F48" s="5">
        <v>45968</v>
      </c>
      <c r="G48" s="6" t="s">
        <v>129</v>
      </c>
      <c r="H48" s="1"/>
      <c r="I48" s="1"/>
      <c r="J48" s="1"/>
      <c r="K48" s="1"/>
      <c r="L48" s="1"/>
      <c r="M48" s="1"/>
      <c r="N48" s="1"/>
      <c r="O48" s="165" t="s">
        <v>73</v>
      </c>
      <c r="P48" s="165"/>
      <c r="Q48" s="15"/>
      <c r="R48" s="15"/>
      <c r="S48" s="10" t="s">
        <v>212</v>
      </c>
      <c r="T48" s="15"/>
      <c r="U48" s="15"/>
      <c r="V48" s="1"/>
      <c r="W48" s="1"/>
      <c r="X48" s="1"/>
      <c r="Y48" s="1"/>
      <c r="Z48" s="1"/>
      <c r="AA48" s="1"/>
      <c r="AB48" s="1"/>
      <c r="AC48" s="1"/>
      <c r="AD48" s="170" t="s">
        <v>74</v>
      </c>
      <c r="AE48" s="171"/>
      <c r="AF48" s="171"/>
      <c r="AG48" s="11"/>
      <c r="AH48" s="11"/>
      <c r="AI48" s="11"/>
      <c r="AJ48" s="11"/>
      <c r="AK48" s="11"/>
      <c r="AL48" s="11"/>
      <c r="AM48" s="11"/>
      <c r="AN48" s="10" t="s">
        <v>214</v>
      </c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0" t="s">
        <v>215</v>
      </c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32"/>
      <c r="BQ48" s="131"/>
      <c r="BR48" s="131"/>
      <c r="BS48" s="131"/>
      <c r="BT48" s="131"/>
      <c r="BU48" s="133"/>
    </row>
    <row r="49" spans="1:73" ht="17.25" customHeight="1">
      <c r="A49" s="128"/>
      <c r="B49" s="107" t="s">
        <v>125</v>
      </c>
      <c r="C49" s="3">
        <v>1</v>
      </c>
      <c r="D49" s="4">
        <f t="shared" si="2"/>
        <v>5</v>
      </c>
      <c r="E49" s="5">
        <v>45964</v>
      </c>
      <c r="F49" s="5">
        <v>45968</v>
      </c>
      <c r="G49" s="6" t="s">
        <v>129</v>
      </c>
      <c r="H49" s="1"/>
      <c r="I49" s="1"/>
      <c r="J49" s="1"/>
      <c r="K49" s="1"/>
      <c r="L49" s="1"/>
      <c r="M49" s="1"/>
      <c r="N49" s="1"/>
      <c r="O49" s="165" t="s">
        <v>73</v>
      </c>
      <c r="P49" s="165"/>
      <c r="Q49" s="15"/>
      <c r="R49" s="15"/>
      <c r="S49" s="10" t="s">
        <v>212</v>
      </c>
      <c r="T49" s="15"/>
      <c r="U49" s="15"/>
      <c r="V49" s="1"/>
      <c r="W49" s="1"/>
      <c r="X49" s="1"/>
      <c r="Y49" s="1"/>
      <c r="Z49" s="1"/>
      <c r="AA49" s="1"/>
      <c r="AB49" s="1"/>
      <c r="AC49" s="1"/>
      <c r="AD49" s="170" t="s">
        <v>74</v>
      </c>
      <c r="AE49" s="170"/>
      <c r="AF49" s="170"/>
      <c r="AG49" s="11"/>
      <c r="AH49" s="11"/>
      <c r="AI49" s="11"/>
      <c r="AJ49" s="11"/>
      <c r="AK49" s="11"/>
      <c r="AL49" s="11"/>
      <c r="AM49" s="11"/>
      <c r="AN49" s="10" t="s">
        <v>214</v>
      </c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0" t="s">
        <v>215</v>
      </c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32"/>
      <c r="BQ49" s="132"/>
      <c r="BR49" s="132"/>
      <c r="BS49" s="132"/>
      <c r="BT49" s="132"/>
      <c r="BU49" s="137"/>
    </row>
    <row r="50" spans="1:73" ht="17.25" customHeight="1">
      <c r="A50" s="128"/>
      <c r="B50" s="106" t="s">
        <v>126</v>
      </c>
      <c r="C50" s="3">
        <v>1</v>
      </c>
      <c r="D50" s="4">
        <f t="shared" si="2"/>
        <v>5</v>
      </c>
      <c r="E50" s="5">
        <v>45964</v>
      </c>
      <c r="F50" s="5">
        <v>45968</v>
      </c>
      <c r="G50" s="6" t="s">
        <v>129</v>
      </c>
      <c r="H50" s="1"/>
      <c r="I50" s="1"/>
      <c r="J50" s="1"/>
      <c r="K50" s="1"/>
      <c r="L50" s="1"/>
      <c r="M50" s="1"/>
      <c r="N50" s="1"/>
      <c r="O50" s="165" t="s">
        <v>73</v>
      </c>
      <c r="P50" s="165"/>
      <c r="Q50" s="15"/>
      <c r="R50" s="15"/>
      <c r="S50" s="10" t="s">
        <v>212</v>
      </c>
      <c r="T50" s="15"/>
      <c r="U50" s="15"/>
      <c r="V50" s="1"/>
      <c r="W50" s="1"/>
      <c r="X50" s="1"/>
      <c r="Y50" s="1"/>
      <c r="Z50" s="1"/>
      <c r="AA50" s="1"/>
      <c r="AB50" s="1"/>
      <c r="AC50" s="1"/>
      <c r="AD50" s="170" t="s">
        <v>74</v>
      </c>
      <c r="AE50" s="171"/>
      <c r="AF50" s="171"/>
      <c r="AG50" s="11"/>
      <c r="AH50" s="11"/>
      <c r="AI50" s="11"/>
      <c r="AJ50" s="11"/>
      <c r="AK50" s="11"/>
      <c r="AL50" s="11"/>
      <c r="AM50" s="11"/>
      <c r="AN50" s="10" t="s">
        <v>214</v>
      </c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0" t="s">
        <v>215</v>
      </c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32"/>
      <c r="BQ50" s="131"/>
      <c r="BR50" s="131"/>
      <c r="BS50" s="131"/>
      <c r="BT50" s="131"/>
      <c r="BU50" s="133"/>
    </row>
    <row r="51" spans="1:73" ht="17.25" customHeight="1" outlineLevel="1">
      <c r="A51" s="128"/>
      <c r="B51" s="106" t="s">
        <v>127</v>
      </c>
      <c r="C51" s="3">
        <v>1</v>
      </c>
      <c r="D51" s="4">
        <f t="shared" si="2"/>
        <v>5</v>
      </c>
      <c r="E51" s="5">
        <v>45964</v>
      </c>
      <c r="F51" s="5">
        <v>45968</v>
      </c>
      <c r="G51" s="6" t="s">
        <v>129</v>
      </c>
      <c r="H51" s="1"/>
      <c r="I51" s="1"/>
      <c r="J51" s="1"/>
      <c r="K51" s="1"/>
      <c r="L51" s="1"/>
      <c r="M51" s="1"/>
      <c r="N51" s="1"/>
      <c r="O51" s="165" t="s">
        <v>73</v>
      </c>
      <c r="P51" s="165"/>
      <c r="Q51" s="15"/>
      <c r="R51" s="15"/>
      <c r="S51" s="10" t="s">
        <v>212</v>
      </c>
      <c r="T51" s="15"/>
      <c r="U51" s="15"/>
      <c r="V51" s="1"/>
      <c r="W51" s="1"/>
      <c r="X51" s="1"/>
      <c r="Y51" s="1"/>
      <c r="Z51" s="1"/>
      <c r="AA51" s="1"/>
      <c r="AB51" s="1"/>
      <c r="AC51" s="1"/>
      <c r="AD51" s="170" t="s">
        <v>74</v>
      </c>
      <c r="AE51" s="171"/>
      <c r="AF51" s="171"/>
      <c r="AG51" s="11"/>
      <c r="AH51" s="11"/>
      <c r="AI51" s="11"/>
      <c r="AJ51" s="11"/>
      <c r="AK51" s="11"/>
      <c r="AL51" s="11"/>
      <c r="AM51" s="11"/>
      <c r="AN51" s="10" t="s">
        <v>214</v>
      </c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0" t="s">
        <v>215</v>
      </c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32"/>
      <c r="BQ51" s="131"/>
      <c r="BR51" s="131"/>
      <c r="BS51" s="131"/>
      <c r="BT51" s="131"/>
      <c r="BU51" s="133"/>
    </row>
    <row r="52" spans="1:73" ht="17.25" customHeight="1" outlineLevel="1">
      <c r="A52" s="128"/>
      <c r="B52" s="32" t="s">
        <v>86</v>
      </c>
      <c r="C52" s="3">
        <v>1</v>
      </c>
      <c r="D52" s="4">
        <f t="shared" ref="D52:D104" si="3">F52-E52+1</f>
        <v>9</v>
      </c>
      <c r="E52" s="5">
        <v>45963</v>
      </c>
      <c r="F52" s="5">
        <v>45971</v>
      </c>
      <c r="G52" s="6" t="s">
        <v>128</v>
      </c>
      <c r="H52" s="1"/>
      <c r="I52" s="1"/>
      <c r="J52" s="1"/>
      <c r="K52" s="1"/>
      <c r="L52" s="1"/>
      <c r="M52" s="1"/>
      <c r="N52" s="1"/>
      <c r="O52" s="165" t="s">
        <v>73</v>
      </c>
      <c r="P52" s="165"/>
      <c r="Q52" s="15"/>
      <c r="R52" s="15"/>
      <c r="S52" s="10" t="s">
        <v>212</v>
      </c>
      <c r="T52" s="15"/>
      <c r="U52" s="15"/>
      <c r="V52" s="1"/>
      <c r="W52" s="1"/>
      <c r="X52" s="1"/>
      <c r="Y52" s="1"/>
      <c r="Z52" s="1"/>
      <c r="AA52" s="1"/>
      <c r="AB52" s="1"/>
      <c r="AC52" s="1"/>
      <c r="AD52" s="170" t="s">
        <v>74</v>
      </c>
      <c r="AE52" s="171"/>
      <c r="AF52" s="171"/>
      <c r="AG52" s="11"/>
      <c r="AH52" s="11"/>
      <c r="AI52" s="11"/>
      <c r="AJ52" s="11"/>
      <c r="AK52" s="11"/>
      <c r="AL52" s="11"/>
      <c r="AM52" s="11"/>
      <c r="AN52" s="10" t="s">
        <v>214</v>
      </c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0" t="s">
        <v>215</v>
      </c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32"/>
      <c r="BQ52" s="131"/>
      <c r="BR52" s="131"/>
      <c r="BS52" s="131"/>
      <c r="BT52" s="131"/>
      <c r="BU52" s="133"/>
    </row>
    <row r="53" spans="1:73" ht="17.25" customHeight="1" outlineLevel="1">
      <c r="A53" s="128"/>
      <c r="B53" s="106" t="s">
        <v>135</v>
      </c>
      <c r="C53" s="3">
        <v>1</v>
      </c>
      <c r="D53" s="4">
        <f t="shared" si="3"/>
        <v>9</v>
      </c>
      <c r="E53" s="5">
        <v>45963</v>
      </c>
      <c r="F53" s="5">
        <v>45971</v>
      </c>
      <c r="G53" s="6" t="s">
        <v>128</v>
      </c>
      <c r="H53" s="1"/>
      <c r="I53" s="1"/>
      <c r="J53" s="1"/>
      <c r="K53" s="1"/>
      <c r="L53" s="1"/>
      <c r="M53" s="1"/>
      <c r="N53" s="1"/>
      <c r="O53" s="165" t="s">
        <v>73</v>
      </c>
      <c r="P53" s="165"/>
      <c r="Q53" s="15"/>
      <c r="R53" s="15"/>
      <c r="S53" s="10" t="s">
        <v>212</v>
      </c>
      <c r="T53" s="15"/>
      <c r="U53" s="15"/>
      <c r="V53" s="1"/>
      <c r="W53" s="1"/>
      <c r="X53" s="1"/>
      <c r="Y53" s="1"/>
      <c r="Z53" s="1"/>
      <c r="AA53" s="1"/>
      <c r="AB53" s="1"/>
      <c r="AC53" s="1"/>
      <c r="AD53" s="170" t="s">
        <v>74</v>
      </c>
      <c r="AE53" s="171"/>
      <c r="AF53" s="171"/>
      <c r="AG53" s="11"/>
      <c r="AH53" s="11"/>
      <c r="AI53" s="11"/>
      <c r="AJ53" s="11"/>
      <c r="AK53" s="11"/>
      <c r="AL53" s="11"/>
      <c r="AM53" s="11"/>
      <c r="AN53" s="10" t="s">
        <v>214</v>
      </c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0" t="s">
        <v>215</v>
      </c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32"/>
      <c r="BQ53" s="131"/>
      <c r="BR53" s="131"/>
      <c r="BS53" s="131"/>
      <c r="BT53" s="131"/>
      <c r="BU53" s="133"/>
    </row>
    <row r="54" spans="1:73" ht="17.25" customHeight="1" outlineLevel="1">
      <c r="A54" s="128"/>
      <c r="B54" s="106" t="s">
        <v>130</v>
      </c>
      <c r="C54" s="3">
        <v>1</v>
      </c>
      <c r="D54" s="4">
        <f t="shared" ref="D54" si="4">F54-E54+1</f>
        <v>9</v>
      </c>
      <c r="E54" s="5">
        <v>45963</v>
      </c>
      <c r="F54" s="5">
        <v>45971</v>
      </c>
      <c r="G54" s="6" t="s">
        <v>128</v>
      </c>
      <c r="H54" s="1"/>
      <c r="I54" s="1"/>
      <c r="J54" s="1"/>
      <c r="K54" s="1"/>
      <c r="L54" s="1"/>
      <c r="M54" s="1"/>
      <c r="N54" s="1"/>
      <c r="O54" s="165" t="s">
        <v>73</v>
      </c>
      <c r="P54" s="165"/>
      <c r="Q54" s="15"/>
      <c r="R54" s="15"/>
      <c r="S54" s="10" t="s">
        <v>212</v>
      </c>
      <c r="T54" s="15"/>
      <c r="U54" s="15"/>
      <c r="V54" s="1"/>
      <c r="W54" s="1"/>
      <c r="X54" s="1"/>
      <c r="Y54" s="1"/>
      <c r="Z54" s="1"/>
      <c r="AA54" s="1"/>
      <c r="AB54" s="1"/>
      <c r="AC54" s="1"/>
      <c r="AD54" s="170" t="s">
        <v>74</v>
      </c>
      <c r="AE54" s="171"/>
      <c r="AF54" s="171"/>
      <c r="AG54" s="11"/>
      <c r="AH54" s="11"/>
      <c r="AI54" s="11"/>
      <c r="AJ54" s="11"/>
      <c r="AK54" s="11"/>
      <c r="AL54" s="11"/>
      <c r="AM54" s="11"/>
      <c r="AN54" s="10" t="s">
        <v>214</v>
      </c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0" t="s">
        <v>215</v>
      </c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32"/>
      <c r="BQ54" s="132"/>
      <c r="BR54" s="132"/>
      <c r="BS54" s="132"/>
      <c r="BT54" s="132"/>
      <c r="BU54" s="137"/>
    </row>
    <row r="55" spans="1:73" ht="17.25" customHeight="1" outlineLevel="1">
      <c r="A55" s="128"/>
      <c r="B55" s="108" t="s">
        <v>131</v>
      </c>
      <c r="C55" s="3">
        <v>1</v>
      </c>
      <c r="D55" s="4">
        <f t="shared" si="3"/>
        <v>9</v>
      </c>
      <c r="E55" s="5">
        <v>45963</v>
      </c>
      <c r="F55" s="5">
        <v>45971</v>
      </c>
      <c r="G55" s="6" t="s">
        <v>128</v>
      </c>
      <c r="H55" s="1"/>
      <c r="I55" s="1"/>
      <c r="J55" s="1"/>
      <c r="K55" s="1"/>
      <c r="L55" s="1"/>
      <c r="M55" s="1"/>
      <c r="N55" s="1"/>
      <c r="O55" s="165" t="s">
        <v>73</v>
      </c>
      <c r="P55" s="165"/>
      <c r="Q55" s="15"/>
      <c r="R55" s="15"/>
      <c r="S55" s="10" t="s">
        <v>212</v>
      </c>
      <c r="T55" s="15"/>
      <c r="U55" s="15"/>
      <c r="V55" s="1"/>
      <c r="W55" s="1"/>
      <c r="X55" s="1"/>
      <c r="Y55" s="1"/>
      <c r="Z55" s="1"/>
      <c r="AA55" s="1"/>
      <c r="AB55" s="1"/>
      <c r="AC55" s="1"/>
      <c r="AD55" s="170" t="s">
        <v>74</v>
      </c>
      <c r="AE55" s="171"/>
      <c r="AF55" s="171"/>
      <c r="AG55" s="11"/>
      <c r="AH55" s="11"/>
      <c r="AI55" s="11"/>
      <c r="AJ55" s="11"/>
      <c r="AK55" s="11"/>
      <c r="AL55" s="11"/>
      <c r="AM55" s="11"/>
      <c r="AN55" s="10" t="s">
        <v>214</v>
      </c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0" t="s">
        <v>215</v>
      </c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32"/>
      <c r="BQ55" s="131"/>
      <c r="BR55" s="131"/>
      <c r="BS55" s="131"/>
      <c r="BT55" s="131"/>
      <c r="BU55" s="133"/>
    </row>
    <row r="56" spans="1:73" ht="17.25" customHeight="1" outlineLevel="1">
      <c r="A56" s="128"/>
      <c r="B56" s="109" t="s">
        <v>132</v>
      </c>
      <c r="C56" s="3">
        <v>1</v>
      </c>
      <c r="D56" s="4">
        <f t="shared" si="3"/>
        <v>9</v>
      </c>
      <c r="E56" s="5">
        <v>45963</v>
      </c>
      <c r="F56" s="5">
        <v>45971</v>
      </c>
      <c r="G56" s="6" t="s">
        <v>128</v>
      </c>
      <c r="H56" s="1"/>
      <c r="I56" s="1"/>
      <c r="J56" s="1"/>
      <c r="K56" s="1"/>
      <c r="L56" s="1"/>
      <c r="M56" s="1"/>
      <c r="N56" s="1"/>
      <c r="O56" s="165" t="s">
        <v>73</v>
      </c>
      <c r="P56" s="165"/>
      <c r="Q56" s="15"/>
      <c r="R56" s="15"/>
      <c r="S56" s="10" t="s">
        <v>212</v>
      </c>
      <c r="T56" s="15"/>
      <c r="U56" s="15"/>
      <c r="V56" s="1"/>
      <c r="W56" s="1"/>
      <c r="X56" s="1"/>
      <c r="Y56" s="1"/>
      <c r="Z56" s="1"/>
      <c r="AA56" s="1"/>
      <c r="AB56" s="1"/>
      <c r="AC56" s="1"/>
      <c r="AD56" s="170" t="s">
        <v>74</v>
      </c>
      <c r="AE56" s="171"/>
      <c r="AF56" s="171"/>
      <c r="AG56" s="11"/>
      <c r="AH56" s="11"/>
      <c r="AI56" s="11"/>
      <c r="AJ56" s="11"/>
      <c r="AK56" s="11"/>
      <c r="AL56" s="11"/>
      <c r="AM56" s="11"/>
      <c r="AN56" s="10" t="s">
        <v>214</v>
      </c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0" t="s">
        <v>215</v>
      </c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32"/>
      <c r="BQ56" s="131"/>
      <c r="BR56" s="131"/>
      <c r="BS56" s="131"/>
      <c r="BT56" s="131"/>
      <c r="BU56" s="133"/>
    </row>
    <row r="57" spans="1:73" ht="17.25" customHeight="1">
      <c r="A57" s="128"/>
      <c r="B57" s="110" t="s">
        <v>87</v>
      </c>
      <c r="C57" s="3">
        <v>1</v>
      </c>
      <c r="D57" s="4">
        <f t="shared" si="3"/>
        <v>9</v>
      </c>
      <c r="E57" s="5">
        <v>45963</v>
      </c>
      <c r="F57" s="5">
        <v>45971</v>
      </c>
      <c r="G57" s="6" t="s">
        <v>128</v>
      </c>
      <c r="H57" s="1"/>
      <c r="I57" s="1"/>
      <c r="J57" s="1"/>
      <c r="K57" s="1"/>
      <c r="L57" s="1"/>
      <c r="M57" s="1"/>
      <c r="N57" s="1"/>
      <c r="O57" s="165" t="s">
        <v>73</v>
      </c>
      <c r="P57" s="165"/>
      <c r="Q57" s="15"/>
      <c r="R57" s="15"/>
      <c r="S57" s="10" t="s">
        <v>212</v>
      </c>
      <c r="T57" s="15"/>
      <c r="U57" s="15"/>
      <c r="V57" s="1"/>
      <c r="W57" s="1"/>
      <c r="X57" s="1"/>
      <c r="Y57" s="1"/>
      <c r="Z57" s="1"/>
      <c r="AA57" s="1"/>
      <c r="AB57" s="1"/>
      <c r="AC57" s="1"/>
      <c r="AD57" s="170" t="s">
        <v>74</v>
      </c>
      <c r="AE57" s="171"/>
      <c r="AF57" s="171"/>
      <c r="AG57" s="11"/>
      <c r="AH57" s="11"/>
      <c r="AI57" s="11"/>
      <c r="AJ57" s="11"/>
      <c r="AK57" s="11"/>
      <c r="AL57" s="11"/>
      <c r="AM57" s="11"/>
      <c r="AN57" s="10" t="s">
        <v>214</v>
      </c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0" t="s">
        <v>215</v>
      </c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32"/>
      <c r="BQ57" s="131"/>
      <c r="BR57" s="131"/>
      <c r="BS57" s="131"/>
      <c r="BT57" s="131"/>
      <c r="BU57" s="133"/>
    </row>
    <row r="58" spans="1:73" ht="18" customHeight="1" outlineLevel="1">
      <c r="A58" s="128"/>
      <c r="B58" s="31" t="s">
        <v>88</v>
      </c>
      <c r="C58" s="3">
        <v>1</v>
      </c>
      <c r="D58" s="4">
        <f t="shared" si="3"/>
        <v>7</v>
      </c>
      <c r="E58" s="5">
        <v>45965</v>
      </c>
      <c r="F58" s="5">
        <v>45971</v>
      </c>
      <c r="G58" s="6" t="s">
        <v>133</v>
      </c>
      <c r="H58" s="1"/>
      <c r="I58" s="1"/>
      <c r="J58" s="1"/>
      <c r="K58" s="1"/>
      <c r="L58" s="1"/>
      <c r="M58" s="1"/>
      <c r="N58" s="1"/>
      <c r="O58" s="165" t="s">
        <v>73</v>
      </c>
      <c r="P58" s="165"/>
      <c r="Q58" s="15"/>
      <c r="R58" s="15"/>
      <c r="S58" s="10" t="s">
        <v>212</v>
      </c>
      <c r="T58" s="15"/>
      <c r="U58" s="15"/>
      <c r="V58" s="1"/>
      <c r="W58" s="1"/>
      <c r="X58" s="1"/>
      <c r="Y58" s="1"/>
      <c r="Z58" s="1"/>
      <c r="AA58" s="1"/>
      <c r="AB58" s="1"/>
      <c r="AC58" s="1"/>
      <c r="AD58" s="170" t="s">
        <v>74</v>
      </c>
      <c r="AE58" s="171"/>
      <c r="AF58" s="171"/>
      <c r="AG58" s="11"/>
      <c r="AH58" s="11"/>
      <c r="AI58" s="11"/>
      <c r="AJ58" s="11"/>
      <c r="AK58" s="11"/>
      <c r="AL58" s="11"/>
      <c r="AM58" s="11"/>
      <c r="AN58" s="10" t="s">
        <v>214</v>
      </c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0" t="s">
        <v>215</v>
      </c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32"/>
      <c r="BQ58" s="131"/>
      <c r="BR58" s="131"/>
      <c r="BS58" s="131"/>
      <c r="BT58" s="131"/>
      <c r="BU58" s="133"/>
    </row>
    <row r="59" spans="1:73" ht="18" customHeight="1" outlineLevel="1">
      <c r="A59" s="128"/>
      <c r="B59" s="103" t="s">
        <v>89</v>
      </c>
      <c r="C59" s="3">
        <v>1</v>
      </c>
      <c r="D59" s="4">
        <f t="shared" si="3"/>
        <v>7</v>
      </c>
      <c r="E59" s="5">
        <v>45965</v>
      </c>
      <c r="F59" s="5">
        <v>45971</v>
      </c>
      <c r="G59" s="6" t="s">
        <v>133</v>
      </c>
      <c r="H59" s="1"/>
      <c r="I59" s="1"/>
      <c r="J59" s="1"/>
      <c r="K59" s="1"/>
      <c r="L59" s="1"/>
      <c r="M59" s="1"/>
      <c r="N59" s="1"/>
      <c r="O59" s="165" t="s">
        <v>73</v>
      </c>
      <c r="P59" s="165"/>
      <c r="Q59" s="15"/>
      <c r="R59" s="15"/>
      <c r="S59" s="10" t="s">
        <v>212</v>
      </c>
      <c r="T59" s="15"/>
      <c r="U59" s="15"/>
      <c r="V59" s="1"/>
      <c r="W59" s="1"/>
      <c r="X59" s="1"/>
      <c r="Y59" s="1"/>
      <c r="Z59" s="1"/>
      <c r="AA59" s="1"/>
      <c r="AB59" s="1"/>
      <c r="AC59" s="1"/>
      <c r="AD59" s="170" t="s">
        <v>74</v>
      </c>
      <c r="AE59" s="171"/>
      <c r="AF59" s="171"/>
      <c r="AG59" s="11"/>
      <c r="AH59" s="11"/>
      <c r="AI59" s="11"/>
      <c r="AJ59" s="11"/>
      <c r="AK59" s="11"/>
      <c r="AL59" s="11"/>
      <c r="AM59" s="11"/>
      <c r="AN59" s="10" t="s">
        <v>214</v>
      </c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0" t="s">
        <v>215</v>
      </c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32"/>
      <c r="BQ59" s="131"/>
      <c r="BR59" s="131"/>
      <c r="BS59" s="131"/>
      <c r="BT59" s="131"/>
      <c r="BU59" s="133"/>
    </row>
    <row r="60" spans="1:73" ht="17.25" customHeight="1" outlineLevel="1">
      <c r="A60" s="128"/>
      <c r="B60" s="103" t="s">
        <v>90</v>
      </c>
      <c r="C60" s="3">
        <v>1</v>
      </c>
      <c r="D60" s="4">
        <f t="shared" si="3"/>
        <v>7</v>
      </c>
      <c r="E60" s="5">
        <v>45965</v>
      </c>
      <c r="F60" s="5">
        <v>45971</v>
      </c>
      <c r="G60" s="6" t="s">
        <v>133</v>
      </c>
      <c r="H60" s="1"/>
      <c r="I60" s="1"/>
      <c r="J60" s="1"/>
      <c r="K60" s="1"/>
      <c r="L60" s="1"/>
      <c r="M60" s="1"/>
      <c r="N60" s="1"/>
      <c r="O60" s="165" t="s">
        <v>73</v>
      </c>
      <c r="P60" s="165"/>
      <c r="Q60" s="15"/>
      <c r="R60" s="15"/>
      <c r="S60" s="10" t="s">
        <v>212</v>
      </c>
      <c r="T60" s="15"/>
      <c r="U60" s="15"/>
      <c r="V60" s="1"/>
      <c r="W60" s="1"/>
      <c r="X60" s="1"/>
      <c r="Y60" s="1"/>
      <c r="Z60" s="1"/>
      <c r="AA60" s="1"/>
      <c r="AB60" s="1"/>
      <c r="AC60" s="1"/>
      <c r="AD60" s="170" t="s">
        <v>74</v>
      </c>
      <c r="AE60" s="171"/>
      <c r="AF60" s="171"/>
      <c r="AG60" s="11"/>
      <c r="AH60" s="11"/>
      <c r="AI60" s="11"/>
      <c r="AJ60" s="11"/>
      <c r="AK60" s="11"/>
      <c r="AL60" s="11"/>
      <c r="AM60" s="11"/>
      <c r="AN60" s="10" t="s">
        <v>214</v>
      </c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0" t="s">
        <v>215</v>
      </c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32"/>
      <c r="BQ60" s="131"/>
      <c r="BR60" s="131"/>
      <c r="BS60" s="131"/>
      <c r="BT60" s="131"/>
      <c r="BU60" s="133"/>
    </row>
    <row r="61" spans="1:73" ht="17.25" customHeight="1" outlineLevel="1">
      <c r="A61" s="128"/>
      <c r="B61" s="103" t="s">
        <v>91</v>
      </c>
      <c r="C61" s="3">
        <v>1</v>
      </c>
      <c r="D61" s="4">
        <f t="shared" si="3"/>
        <v>7</v>
      </c>
      <c r="E61" s="5">
        <v>45965</v>
      </c>
      <c r="F61" s="5">
        <v>45971</v>
      </c>
      <c r="G61" s="6" t="s">
        <v>133</v>
      </c>
      <c r="H61" s="1"/>
      <c r="I61" s="1"/>
      <c r="J61" s="1"/>
      <c r="K61" s="1"/>
      <c r="L61" s="1"/>
      <c r="M61" s="1"/>
      <c r="N61" s="1"/>
      <c r="O61" s="165" t="s">
        <v>73</v>
      </c>
      <c r="P61" s="165"/>
      <c r="Q61" s="15"/>
      <c r="R61" s="15"/>
      <c r="S61" s="10" t="s">
        <v>212</v>
      </c>
      <c r="T61" s="15"/>
      <c r="U61" s="15"/>
      <c r="V61" s="1"/>
      <c r="W61" s="1"/>
      <c r="X61" s="1"/>
      <c r="Y61" s="1"/>
      <c r="Z61" s="1"/>
      <c r="AA61" s="1"/>
      <c r="AB61" s="1"/>
      <c r="AC61" s="1"/>
      <c r="AD61" s="170" t="s">
        <v>74</v>
      </c>
      <c r="AE61" s="171"/>
      <c r="AF61" s="171"/>
      <c r="AG61" s="11"/>
      <c r="AH61" s="11"/>
      <c r="AI61" s="11"/>
      <c r="AJ61" s="11"/>
      <c r="AK61" s="11"/>
      <c r="AL61" s="11"/>
      <c r="AM61" s="11"/>
      <c r="AN61" s="10" t="s">
        <v>214</v>
      </c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0" t="s">
        <v>215</v>
      </c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32"/>
      <c r="BQ61" s="131"/>
      <c r="BR61" s="131"/>
      <c r="BS61" s="131"/>
      <c r="BT61" s="131"/>
      <c r="BU61" s="133"/>
    </row>
    <row r="62" spans="1:73" ht="17.25" customHeight="1">
      <c r="A62" s="128"/>
      <c r="B62" s="103" t="s">
        <v>92</v>
      </c>
      <c r="C62" s="3">
        <v>1</v>
      </c>
      <c r="D62" s="4">
        <f t="shared" si="3"/>
        <v>7</v>
      </c>
      <c r="E62" s="5">
        <v>45965</v>
      </c>
      <c r="F62" s="5">
        <v>45971</v>
      </c>
      <c r="G62" s="6" t="s">
        <v>133</v>
      </c>
      <c r="H62" s="1"/>
      <c r="I62" s="1"/>
      <c r="J62" s="1"/>
      <c r="K62" s="1"/>
      <c r="L62" s="1"/>
      <c r="M62" s="1"/>
      <c r="N62" s="1"/>
      <c r="O62" s="165" t="s">
        <v>73</v>
      </c>
      <c r="P62" s="165"/>
      <c r="Q62" s="15"/>
      <c r="R62" s="15"/>
      <c r="S62" s="10" t="s">
        <v>212</v>
      </c>
      <c r="T62" s="15"/>
      <c r="U62" s="15"/>
      <c r="V62" s="1"/>
      <c r="W62" s="1"/>
      <c r="X62" s="1"/>
      <c r="Y62" s="1"/>
      <c r="Z62" s="1"/>
      <c r="AA62" s="1"/>
      <c r="AB62" s="1"/>
      <c r="AC62" s="1"/>
      <c r="AD62" s="170" t="s">
        <v>74</v>
      </c>
      <c r="AE62" s="171"/>
      <c r="AF62" s="171"/>
      <c r="AG62" s="11"/>
      <c r="AH62" s="11"/>
      <c r="AI62" s="11"/>
      <c r="AJ62" s="11"/>
      <c r="AK62" s="11"/>
      <c r="AL62" s="11"/>
      <c r="AM62" s="11"/>
      <c r="AN62" s="10" t="s">
        <v>214</v>
      </c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0" t="s">
        <v>215</v>
      </c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32"/>
      <c r="BQ62" s="131"/>
      <c r="BR62" s="131"/>
      <c r="BS62" s="131"/>
      <c r="BT62" s="131"/>
      <c r="BU62" s="133"/>
    </row>
    <row r="63" spans="1:73" ht="17.25" customHeight="1" outlineLevel="1">
      <c r="A63" s="128"/>
      <c r="B63" s="32" t="s">
        <v>93</v>
      </c>
      <c r="C63" s="3">
        <v>1</v>
      </c>
      <c r="D63" s="4">
        <f t="shared" si="3"/>
        <v>8</v>
      </c>
      <c r="E63" s="5">
        <v>45965</v>
      </c>
      <c r="F63" s="5">
        <v>45972</v>
      </c>
      <c r="G63" s="6" t="s">
        <v>134</v>
      </c>
      <c r="H63" s="1"/>
      <c r="I63" s="1"/>
      <c r="J63" s="1"/>
      <c r="K63" s="1"/>
      <c r="L63" s="1"/>
      <c r="M63" s="1"/>
      <c r="N63" s="1"/>
      <c r="O63" s="165" t="s">
        <v>73</v>
      </c>
      <c r="P63" s="165"/>
      <c r="Q63" s="15"/>
      <c r="R63" s="15"/>
      <c r="S63" s="10" t="s">
        <v>212</v>
      </c>
      <c r="T63" s="15"/>
      <c r="U63" s="15"/>
      <c r="V63" s="1"/>
      <c r="W63" s="1"/>
      <c r="X63" s="1"/>
      <c r="Y63" s="1"/>
      <c r="Z63" s="1"/>
      <c r="AA63" s="1"/>
      <c r="AB63" s="1"/>
      <c r="AC63" s="1"/>
      <c r="AD63" s="170" t="s">
        <v>74</v>
      </c>
      <c r="AE63" s="171"/>
      <c r="AF63" s="171"/>
      <c r="AG63" s="11"/>
      <c r="AH63" s="11"/>
      <c r="AI63" s="11"/>
      <c r="AJ63" s="11"/>
      <c r="AK63" s="11"/>
      <c r="AL63" s="11"/>
      <c r="AM63" s="11"/>
      <c r="AN63" s="10" t="s">
        <v>214</v>
      </c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0" t="s">
        <v>215</v>
      </c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32"/>
      <c r="BQ63" s="131"/>
      <c r="BR63" s="131"/>
      <c r="BS63" s="131"/>
      <c r="BT63" s="131"/>
      <c r="BU63" s="133"/>
    </row>
    <row r="64" spans="1:73" ht="17.25" customHeight="1" outlineLevel="1">
      <c r="A64" s="128"/>
      <c r="B64" s="107" t="s">
        <v>136</v>
      </c>
      <c r="C64" s="3">
        <v>1</v>
      </c>
      <c r="D64" s="4">
        <f t="shared" si="3"/>
        <v>8</v>
      </c>
      <c r="E64" s="5">
        <v>45965</v>
      </c>
      <c r="F64" s="5">
        <v>45972</v>
      </c>
      <c r="G64" s="6" t="s">
        <v>134</v>
      </c>
      <c r="H64" s="1"/>
      <c r="I64" s="1"/>
      <c r="J64" s="1"/>
      <c r="K64" s="1"/>
      <c r="L64" s="1"/>
      <c r="M64" s="1"/>
      <c r="N64" s="1"/>
      <c r="O64" s="165" t="s">
        <v>73</v>
      </c>
      <c r="P64" s="165"/>
      <c r="Q64" s="15"/>
      <c r="R64" s="15"/>
      <c r="S64" s="10" t="s">
        <v>212</v>
      </c>
      <c r="T64" s="15"/>
      <c r="U64" s="15"/>
      <c r="V64" s="1"/>
      <c r="W64" s="1"/>
      <c r="X64" s="1"/>
      <c r="Y64" s="1"/>
      <c r="Z64" s="1"/>
      <c r="AA64" s="1"/>
      <c r="AB64" s="1"/>
      <c r="AC64" s="1"/>
      <c r="AD64" s="170" t="s">
        <v>74</v>
      </c>
      <c r="AE64" s="171"/>
      <c r="AF64" s="171"/>
      <c r="AG64" s="11"/>
      <c r="AH64" s="11"/>
      <c r="AI64" s="11"/>
      <c r="AJ64" s="11"/>
      <c r="AK64" s="11"/>
      <c r="AL64" s="11"/>
      <c r="AM64" s="11"/>
      <c r="AN64" s="10" t="s">
        <v>214</v>
      </c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0" t="s">
        <v>215</v>
      </c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32"/>
      <c r="BQ64" s="131"/>
      <c r="BR64" s="131"/>
      <c r="BS64" s="131"/>
      <c r="BT64" s="131"/>
      <c r="BU64" s="133"/>
    </row>
    <row r="65" spans="1:73" ht="17.25" customHeight="1" outlineLevel="1">
      <c r="A65" s="128"/>
      <c r="B65" s="107" t="s">
        <v>137</v>
      </c>
      <c r="C65" s="3">
        <v>1</v>
      </c>
      <c r="D65" s="4">
        <f t="shared" si="3"/>
        <v>8</v>
      </c>
      <c r="E65" s="5">
        <v>45965</v>
      </c>
      <c r="F65" s="5">
        <v>45972</v>
      </c>
      <c r="G65" s="6" t="s">
        <v>134</v>
      </c>
      <c r="H65" s="1"/>
      <c r="I65" s="1"/>
      <c r="J65" s="1"/>
      <c r="K65" s="1"/>
      <c r="L65" s="1"/>
      <c r="M65" s="1"/>
      <c r="N65" s="1"/>
      <c r="O65" s="165" t="s">
        <v>73</v>
      </c>
      <c r="P65" s="165"/>
      <c r="Q65" s="15"/>
      <c r="R65" s="15"/>
      <c r="S65" s="10" t="s">
        <v>212</v>
      </c>
      <c r="T65" s="15"/>
      <c r="U65" s="15"/>
      <c r="V65" s="1"/>
      <c r="W65" s="1"/>
      <c r="X65" s="1"/>
      <c r="Y65" s="1"/>
      <c r="Z65" s="1"/>
      <c r="AA65" s="1"/>
      <c r="AB65" s="1"/>
      <c r="AC65" s="1"/>
      <c r="AD65" s="170" t="s">
        <v>74</v>
      </c>
      <c r="AE65" s="171"/>
      <c r="AF65" s="171"/>
      <c r="AG65" s="11"/>
      <c r="AH65" s="11"/>
      <c r="AI65" s="11"/>
      <c r="AJ65" s="11"/>
      <c r="AK65" s="11"/>
      <c r="AL65" s="11"/>
      <c r="AM65" s="11"/>
      <c r="AN65" s="10" t="s">
        <v>214</v>
      </c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0" t="s">
        <v>215</v>
      </c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32"/>
      <c r="BQ65" s="132"/>
      <c r="BR65" s="132"/>
      <c r="BS65" s="132"/>
      <c r="BT65" s="132"/>
      <c r="BU65" s="137"/>
    </row>
    <row r="66" spans="1:73" ht="17.25" customHeight="1" outlineLevel="1">
      <c r="A66" s="128"/>
      <c r="B66" s="109" t="s">
        <v>138</v>
      </c>
      <c r="C66" s="3">
        <v>1</v>
      </c>
      <c r="D66" s="4">
        <f t="shared" si="3"/>
        <v>8</v>
      </c>
      <c r="E66" s="5">
        <v>45965</v>
      </c>
      <c r="F66" s="5">
        <v>45972</v>
      </c>
      <c r="G66" s="6" t="s">
        <v>134</v>
      </c>
      <c r="H66" s="1"/>
      <c r="I66" s="1"/>
      <c r="J66" s="1"/>
      <c r="K66" s="1"/>
      <c r="L66" s="1"/>
      <c r="M66" s="1"/>
      <c r="N66" s="1"/>
      <c r="O66" s="165" t="s">
        <v>73</v>
      </c>
      <c r="P66" s="165"/>
      <c r="Q66" s="15"/>
      <c r="R66" s="15"/>
      <c r="S66" s="10" t="s">
        <v>212</v>
      </c>
      <c r="T66" s="15"/>
      <c r="U66" s="15"/>
      <c r="V66" s="1"/>
      <c r="W66" s="1"/>
      <c r="X66" s="1"/>
      <c r="Y66" s="1"/>
      <c r="Z66" s="1"/>
      <c r="AA66" s="1"/>
      <c r="AB66" s="1"/>
      <c r="AC66" s="1"/>
      <c r="AD66" s="170" t="s">
        <v>74</v>
      </c>
      <c r="AE66" s="171"/>
      <c r="AF66" s="171"/>
      <c r="AG66" s="11"/>
      <c r="AH66" s="11"/>
      <c r="AI66" s="11"/>
      <c r="AJ66" s="11"/>
      <c r="AK66" s="11"/>
      <c r="AL66" s="11"/>
      <c r="AM66" s="11"/>
      <c r="AN66" s="10" t="s">
        <v>214</v>
      </c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0" t="s">
        <v>215</v>
      </c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32"/>
      <c r="BQ66" s="131"/>
      <c r="BR66" s="131"/>
      <c r="BS66" s="131"/>
      <c r="BT66" s="131"/>
      <c r="BU66" s="133"/>
    </row>
    <row r="67" spans="1:73" ht="17.25" customHeight="1" outlineLevel="1">
      <c r="A67" s="128"/>
      <c r="B67" s="111" t="s">
        <v>139</v>
      </c>
      <c r="C67" s="3">
        <v>1</v>
      </c>
      <c r="D67" s="4">
        <f t="shared" si="3"/>
        <v>8</v>
      </c>
      <c r="E67" s="5">
        <v>45965</v>
      </c>
      <c r="F67" s="5">
        <v>45972</v>
      </c>
      <c r="G67" s="6" t="s">
        <v>134</v>
      </c>
      <c r="H67" s="1"/>
      <c r="I67" s="1"/>
      <c r="J67" s="1"/>
      <c r="K67" s="1"/>
      <c r="L67" s="1"/>
      <c r="M67" s="1"/>
      <c r="N67" s="1"/>
      <c r="O67" s="165" t="s">
        <v>73</v>
      </c>
      <c r="P67" s="165"/>
      <c r="Q67" s="15"/>
      <c r="R67" s="15"/>
      <c r="S67" s="10" t="s">
        <v>212</v>
      </c>
      <c r="T67" s="15"/>
      <c r="U67" s="15"/>
      <c r="V67" s="1"/>
      <c r="W67" s="1"/>
      <c r="X67" s="1"/>
      <c r="Y67" s="1"/>
      <c r="Z67" s="1"/>
      <c r="AA67" s="1"/>
      <c r="AB67" s="1"/>
      <c r="AC67" s="1"/>
      <c r="AD67" s="170" t="s">
        <v>74</v>
      </c>
      <c r="AE67" s="171"/>
      <c r="AF67" s="171"/>
      <c r="AG67" s="11"/>
      <c r="AH67" s="11"/>
      <c r="AI67" s="11"/>
      <c r="AJ67" s="11"/>
      <c r="AK67" s="11"/>
      <c r="AL67" s="11"/>
      <c r="AM67" s="11"/>
      <c r="AN67" s="10" t="s">
        <v>214</v>
      </c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0" t="s">
        <v>215</v>
      </c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32"/>
      <c r="BQ67" s="131"/>
      <c r="BR67" s="131"/>
      <c r="BS67" s="131"/>
      <c r="BT67" s="131"/>
      <c r="BU67" s="133"/>
    </row>
    <row r="68" spans="1:73" ht="17.25" customHeight="1">
      <c r="A68" s="128"/>
      <c r="B68" s="33" t="s">
        <v>94</v>
      </c>
      <c r="C68" s="3">
        <v>1</v>
      </c>
      <c r="D68" s="4">
        <f t="shared" si="3"/>
        <v>7</v>
      </c>
      <c r="E68" s="34">
        <v>45965</v>
      </c>
      <c r="F68" s="34">
        <v>45971</v>
      </c>
      <c r="G68" s="35" t="s">
        <v>189</v>
      </c>
      <c r="H68" s="1"/>
      <c r="I68" s="1"/>
      <c r="J68" s="1"/>
      <c r="K68" s="1"/>
      <c r="L68" s="1"/>
      <c r="M68" s="1"/>
      <c r="N68" s="1"/>
      <c r="O68" s="165" t="s">
        <v>73</v>
      </c>
      <c r="P68" s="165"/>
      <c r="Q68" s="15"/>
      <c r="R68" s="15"/>
      <c r="S68" s="10" t="s">
        <v>212</v>
      </c>
      <c r="T68" s="15"/>
      <c r="U68" s="15"/>
      <c r="V68" s="1"/>
      <c r="W68" s="1"/>
      <c r="X68" s="1"/>
      <c r="Y68" s="1"/>
      <c r="Z68" s="1"/>
      <c r="AA68" s="1"/>
      <c r="AB68" s="1"/>
      <c r="AC68" s="1"/>
      <c r="AD68" s="170" t="s">
        <v>74</v>
      </c>
      <c r="AE68" s="171"/>
      <c r="AF68" s="171"/>
      <c r="AG68" s="11"/>
      <c r="AH68" s="11"/>
      <c r="AI68" s="11"/>
      <c r="AJ68" s="11"/>
      <c r="AK68" s="11"/>
      <c r="AL68" s="11"/>
      <c r="AM68" s="11"/>
      <c r="AN68" s="10" t="s">
        <v>214</v>
      </c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0" t="s">
        <v>215</v>
      </c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32"/>
      <c r="BQ68" s="131"/>
      <c r="BR68" s="131"/>
      <c r="BS68" s="131"/>
      <c r="BT68" s="131"/>
      <c r="BU68" s="133"/>
    </row>
    <row r="69" spans="1:73" ht="17.25" customHeight="1" outlineLevel="1">
      <c r="A69" s="128"/>
      <c r="B69" s="112" t="s">
        <v>142</v>
      </c>
      <c r="C69" s="3">
        <v>1</v>
      </c>
      <c r="D69" s="4">
        <f t="shared" si="3"/>
        <v>7</v>
      </c>
      <c r="E69" s="34">
        <v>45965</v>
      </c>
      <c r="F69" s="34">
        <v>45971</v>
      </c>
      <c r="G69" s="35" t="s">
        <v>189</v>
      </c>
      <c r="H69" s="1"/>
      <c r="I69" s="1"/>
      <c r="J69" s="1"/>
      <c r="K69" s="1"/>
      <c r="L69" s="1"/>
      <c r="M69" s="1"/>
      <c r="N69" s="1"/>
      <c r="O69" s="165" t="s">
        <v>73</v>
      </c>
      <c r="P69" s="165"/>
      <c r="Q69" s="15"/>
      <c r="R69" s="15"/>
      <c r="S69" s="10" t="s">
        <v>212</v>
      </c>
      <c r="T69" s="15"/>
      <c r="U69" s="15"/>
      <c r="V69" s="1"/>
      <c r="W69" s="1"/>
      <c r="X69" s="1"/>
      <c r="Y69" s="1"/>
      <c r="Z69" s="1"/>
      <c r="AA69" s="1"/>
      <c r="AB69" s="1"/>
      <c r="AC69" s="1"/>
      <c r="AD69" s="170" t="s">
        <v>74</v>
      </c>
      <c r="AE69" s="171"/>
      <c r="AF69" s="171"/>
      <c r="AG69" s="11"/>
      <c r="AH69" s="11"/>
      <c r="AI69" s="11"/>
      <c r="AJ69" s="11"/>
      <c r="AK69" s="11"/>
      <c r="AL69" s="11"/>
      <c r="AM69" s="11"/>
      <c r="AN69" s="10" t="s">
        <v>214</v>
      </c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0" t="s">
        <v>215</v>
      </c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32"/>
      <c r="BQ69" s="131"/>
      <c r="BR69" s="131"/>
      <c r="BS69" s="131"/>
      <c r="BT69" s="131"/>
      <c r="BU69" s="133"/>
    </row>
    <row r="70" spans="1:73" ht="17.25" customHeight="1" outlineLevel="1">
      <c r="A70" s="128"/>
      <c r="B70" s="113" t="s">
        <v>140</v>
      </c>
      <c r="C70" s="3">
        <v>1</v>
      </c>
      <c r="D70" s="4">
        <f t="shared" si="3"/>
        <v>7</v>
      </c>
      <c r="E70" s="34">
        <v>45965</v>
      </c>
      <c r="F70" s="34">
        <v>45971</v>
      </c>
      <c r="G70" s="35" t="s">
        <v>189</v>
      </c>
      <c r="H70" s="1"/>
      <c r="I70" s="1"/>
      <c r="J70" s="1"/>
      <c r="K70" s="1"/>
      <c r="L70" s="1"/>
      <c r="M70" s="1"/>
      <c r="N70" s="1"/>
      <c r="O70" s="165" t="s">
        <v>73</v>
      </c>
      <c r="P70" s="165"/>
      <c r="Q70" s="15"/>
      <c r="R70" s="15"/>
      <c r="S70" s="10" t="s">
        <v>212</v>
      </c>
      <c r="T70" s="15"/>
      <c r="U70" s="15"/>
      <c r="V70" s="1"/>
      <c r="W70" s="1"/>
      <c r="X70" s="1"/>
      <c r="Y70" s="1"/>
      <c r="Z70" s="1"/>
      <c r="AA70" s="1"/>
      <c r="AB70" s="1"/>
      <c r="AC70" s="1"/>
      <c r="AD70" s="170" t="s">
        <v>74</v>
      </c>
      <c r="AE70" s="171"/>
      <c r="AF70" s="171"/>
      <c r="AG70" s="11"/>
      <c r="AH70" s="11"/>
      <c r="AI70" s="11"/>
      <c r="AJ70" s="11"/>
      <c r="AK70" s="11"/>
      <c r="AL70" s="11"/>
      <c r="AM70" s="11"/>
      <c r="AN70" s="10" t="s">
        <v>214</v>
      </c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0" t="s">
        <v>215</v>
      </c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32"/>
      <c r="BQ70" s="131"/>
      <c r="BR70" s="131"/>
      <c r="BS70" s="131"/>
      <c r="BT70" s="131"/>
      <c r="BU70" s="133"/>
    </row>
    <row r="71" spans="1:73" ht="17.25" customHeight="1" outlineLevel="1">
      <c r="A71" s="128"/>
      <c r="B71" s="113" t="s">
        <v>141</v>
      </c>
      <c r="C71" s="3">
        <v>1</v>
      </c>
      <c r="D71" s="4">
        <f t="shared" si="3"/>
        <v>7</v>
      </c>
      <c r="E71" s="34">
        <v>45965</v>
      </c>
      <c r="F71" s="34">
        <v>45971</v>
      </c>
      <c r="G71" s="35" t="s">
        <v>189</v>
      </c>
      <c r="H71" s="1"/>
      <c r="I71" s="1"/>
      <c r="J71" s="1"/>
      <c r="K71" s="1"/>
      <c r="L71" s="1"/>
      <c r="M71" s="1"/>
      <c r="N71" s="1"/>
      <c r="O71" s="165" t="s">
        <v>73</v>
      </c>
      <c r="P71" s="165"/>
      <c r="Q71" s="15"/>
      <c r="R71" s="15"/>
      <c r="S71" s="10" t="s">
        <v>212</v>
      </c>
      <c r="T71" s="15"/>
      <c r="U71" s="15"/>
      <c r="V71" s="1"/>
      <c r="W71" s="1"/>
      <c r="X71" s="1"/>
      <c r="Y71" s="1"/>
      <c r="Z71" s="1"/>
      <c r="AA71" s="1"/>
      <c r="AB71" s="1"/>
      <c r="AC71" s="1"/>
      <c r="AD71" s="170" t="s">
        <v>74</v>
      </c>
      <c r="AE71" s="171"/>
      <c r="AF71" s="171"/>
      <c r="AG71" s="11"/>
      <c r="AH71" s="11"/>
      <c r="AI71" s="11"/>
      <c r="AJ71" s="11"/>
      <c r="AK71" s="11"/>
      <c r="AL71" s="11"/>
      <c r="AM71" s="11"/>
      <c r="AN71" s="10" t="s">
        <v>214</v>
      </c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0" t="s">
        <v>215</v>
      </c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32"/>
      <c r="BQ71" s="131"/>
      <c r="BR71" s="131"/>
      <c r="BS71" s="131"/>
      <c r="BT71" s="131"/>
      <c r="BU71" s="133"/>
    </row>
    <row r="72" spans="1:73" ht="17.25" customHeight="1">
      <c r="A72" s="128"/>
      <c r="B72" s="114" t="s">
        <v>95</v>
      </c>
      <c r="C72" s="3">
        <v>1</v>
      </c>
      <c r="D72" s="4">
        <f t="shared" si="3"/>
        <v>7</v>
      </c>
      <c r="E72" s="34">
        <v>45965</v>
      </c>
      <c r="F72" s="34">
        <v>45971</v>
      </c>
      <c r="G72" s="35" t="s">
        <v>231</v>
      </c>
      <c r="H72" s="1"/>
      <c r="I72" s="1"/>
      <c r="J72" s="1"/>
      <c r="K72" s="1"/>
      <c r="L72" s="1"/>
      <c r="M72" s="1"/>
      <c r="N72" s="1"/>
      <c r="O72" s="165" t="s">
        <v>73</v>
      </c>
      <c r="P72" s="165"/>
      <c r="Q72" s="15"/>
      <c r="R72" s="15"/>
      <c r="S72" s="10" t="s">
        <v>212</v>
      </c>
      <c r="T72" s="15"/>
      <c r="U72" s="15"/>
      <c r="V72" s="1"/>
      <c r="W72" s="1"/>
      <c r="X72" s="1"/>
      <c r="Y72" s="1"/>
      <c r="Z72" s="1"/>
      <c r="AA72" s="1"/>
      <c r="AB72" s="1"/>
      <c r="AC72" s="1"/>
      <c r="AD72" s="170" t="s">
        <v>74</v>
      </c>
      <c r="AE72" s="171"/>
      <c r="AF72" s="171"/>
      <c r="AG72" s="11"/>
      <c r="AH72" s="11"/>
      <c r="AI72" s="11"/>
      <c r="AJ72" s="11"/>
      <c r="AK72" s="11"/>
      <c r="AL72" s="11"/>
      <c r="AM72" s="11"/>
      <c r="AN72" s="10" t="s">
        <v>214</v>
      </c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0" t="s">
        <v>215</v>
      </c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32"/>
      <c r="BQ72" s="131"/>
      <c r="BR72" s="131"/>
      <c r="BS72" s="131"/>
      <c r="BT72" s="131"/>
      <c r="BU72" s="133"/>
    </row>
    <row r="73" spans="1:73" ht="17.25" customHeight="1">
      <c r="A73" s="128"/>
      <c r="B73" s="32" t="s">
        <v>96</v>
      </c>
      <c r="C73" s="3">
        <v>1</v>
      </c>
      <c r="D73" s="4">
        <f t="shared" si="3"/>
        <v>7</v>
      </c>
      <c r="E73" s="5">
        <v>45968</v>
      </c>
      <c r="F73" s="5">
        <v>45974</v>
      </c>
      <c r="G73" s="6" t="s">
        <v>122</v>
      </c>
      <c r="H73" s="1"/>
      <c r="I73" s="1"/>
      <c r="J73" s="1"/>
      <c r="K73" s="1"/>
      <c r="L73" s="1"/>
      <c r="M73" s="1"/>
      <c r="N73" s="1"/>
      <c r="O73" s="165" t="s">
        <v>73</v>
      </c>
      <c r="P73" s="165"/>
      <c r="Q73" s="15"/>
      <c r="R73" s="15"/>
      <c r="S73" s="10" t="s">
        <v>212</v>
      </c>
      <c r="T73" s="15"/>
      <c r="U73" s="15"/>
      <c r="V73" s="1"/>
      <c r="W73" s="1"/>
      <c r="X73" s="1"/>
      <c r="Y73" s="1"/>
      <c r="Z73" s="1"/>
      <c r="AA73" s="1"/>
      <c r="AB73" s="1"/>
      <c r="AC73" s="1"/>
      <c r="AD73" s="130" t="s">
        <v>74</v>
      </c>
      <c r="AE73" s="131"/>
      <c r="AF73" s="131"/>
      <c r="AG73" s="11"/>
      <c r="AH73" s="11"/>
      <c r="AI73" s="11"/>
      <c r="AJ73" s="11"/>
      <c r="AK73" s="11"/>
      <c r="AL73" s="11"/>
      <c r="AM73" s="11"/>
      <c r="AN73" s="10" t="s">
        <v>214</v>
      </c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0" t="s">
        <v>215</v>
      </c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32"/>
      <c r="BQ73" s="131"/>
      <c r="BR73" s="131"/>
      <c r="BS73" s="131"/>
      <c r="BT73" s="131"/>
      <c r="BU73" s="133"/>
    </row>
    <row r="74" spans="1:73" ht="17.25" customHeight="1" outlineLevel="1">
      <c r="A74" s="128"/>
      <c r="B74" s="115" t="s">
        <v>143</v>
      </c>
      <c r="C74" s="3">
        <v>1</v>
      </c>
      <c r="D74" s="4">
        <f t="shared" si="3"/>
        <v>7</v>
      </c>
      <c r="E74" s="5">
        <v>45968</v>
      </c>
      <c r="F74" s="5">
        <v>45974</v>
      </c>
      <c r="G74" s="6" t="s">
        <v>122</v>
      </c>
      <c r="H74" s="1"/>
      <c r="I74" s="1"/>
      <c r="J74" s="1"/>
      <c r="K74" s="1"/>
      <c r="L74" s="1"/>
      <c r="M74" s="1"/>
      <c r="N74" s="1"/>
      <c r="O74" s="165" t="s">
        <v>73</v>
      </c>
      <c r="P74" s="165"/>
      <c r="Q74" s="15"/>
      <c r="R74" s="15"/>
      <c r="S74" s="10" t="s">
        <v>212</v>
      </c>
      <c r="T74" s="15"/>
      <c r="U74" s="15"/>
      <c r="V74" s="1"/>
      <c r="W74" s="1"/>
      <c r="X74" s="1"/>
      <c r="Y74" s="1"/>
      <c r="Z74" s="1"/>
      <c r="AA74" s="1"/>
      <c r="AB74" s="1"/>
      <c r="AC74" s="1"/>
      <c r="AD74" s="130" t="s">
        <v>74</v>
      </c>
      <c r="AE74" s="131"/>
      <c r="AF74" s="131"/>
      <c r="AG74" s="11"/>
      <c r="AH74" s="11"/>
      <c r="AI74" s="11"/>
      <c r="AJ74" s="11"/>
      <c r="AK74" s="11"/>
      <c r="AL74" s="11"/>
      <c r="AM74" s="11"/>
      <c r="AN74" s="10" t="s">
        <v>214</v>
      </c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0" t="s">
        <v>215</v>
      </c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32"/>
      <c r="BQ74" s="131"/>
      <c r="BR74" s="131"/>
      <c r="BS74" s="131"/>
      <c r="BT74" s="131"/>
      <c r="BU74" s="133"/>
    </row>
    <row r="75" spans="1:73" ht="17.25" customHeight="1" outlineLevel="1">
      <c r="A75" s="128"/>
      <c r="B75" s="106" t="s">
        <v>144</v>
      </c>
      <c r="C75" s="3">
        <v>1</v>
      </c>
      <c r="D75" s="4">
        <f t="shared" si="3"/>
        <v>7</v>
      </c>
      <c r="E75" s="5">
        <v>45968</v>
      </c>
      <c r="F75" s="5">
        <v>45974</v>
      </c>
      <c r="G75" s="6" t="s">
        <v>122</v>
      </c>
      <c r="H75" s="1"/>
      <c r="I75" s="1"/>
      <c r="J75" s="1"/>
      <c r="K75" s="1"/>
      <c r="L75" s="1"/>
      <c r="M75" s="1"/>
      <c r="N75" s="1"/>
      <c r="O75" s="165" t="s">
        <v>73</v>
      </c>
      <c r="P75" s="165"/>
      <c r="Q75" s="15"/>
      <c r="R75" s="15"/>
      <c r="S75" s="10" t="s">
        <v>212</v>
      </c>
      <c r="T75" s="15"/>
      <c r="U75" s="15"/>
      <c r="V75" s="1"/>
      <c r="W75" s="1"/>
      <c r="X75" s="1"/>
      <c r="Y75" s="1"/>
      <c r="Z75" s="1"/>
      <c r="AA75" s="1"/>
      <c r="AB75" s="1"/>
      <c r="AC75" s="1"/>
      <c r="AD75" s="130" t="s">
        <v>74</v>
      </c>
      <c r="AE75" s="131"/>
      <c r="AF75" s="131"/>
      <c r="AG75" s="11"/>
      <c r="AH75" s="11"/>
      <c r="AI75" s="11"/>
      <c r="AJ75" s="11"/>
      <c r="AK75" s="11"/>
      <c r="AL75" s="11"/>
      <c r="AM75" s="11"/>
      <c r="AN75" s="10" t="s">
        <v>214</v>
      </c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0" t="s">
        <v>215</v>
      </c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32"/>
      <c r="BQ75" s="131"/>
      <c r="BR75" s="131"/>
      <c r="BS75" s="131"/>
      <c r="BT75" s="131"/>
      <c r="BU75" s="133"/>
    </row>
    <row r="76" spans="1:73" ht="17.25" customHeight="1" outlineLevel="1">
      <c r="A76" s="128"/>
      <c r="B76" s="106" t="s">
        <v>145</v>
      </c>
      <c r="C76" s="3">
        <v>1</v>
      </c>
      <c r="D76" s="4">
        <f t="shared" si="3"/>
        <v>7</v>
      </c>
      <c r="E76" s="5">
        <v>45968</v>
      </c>
      <c r="F76" s="5">
        <v>45974</v>
      </c>
      <c r="G76" s="6" t="s">
        <v>122</v>
      </c>
      <c r="H76" s="1"/>
      <c r="I76" s="1"/>
      <c r="J76" s="1"/>
      <c r="K76" s="1"/>
      <c r="L76" s="1"/>
      <c r="M76" s="1"/>
      <c r="N76" s="1"/>
      <c r="O76" s="165" t="s">
        <v>73</v>
      </c>
      <c r="P76" s="165"/>
      <c r="Q76" s="15"/>
      <c r="R76" s="15"/>
      <c r="S76" s="10" t="s">
        <v>212</v>
      </c>
      <c r="T76" s="15"/>
      <c r="U76" s="15"/>
      <c r="V76" s="1"/>
      <c r="W76" s="1"/>
      <c r="X76" s="1"/>
      <c r="Y76" s="1"/>
      <c r="Z76" s="1"/>
      <c r="AA76" s="1"/>
      <c r="AB76" s="1"/>
      <c r="AC76" s="1"/>
      <c r="AD76" s="130" t="s">
        <v>74</v>
      </c>
      <c r="AE76" s="131"/>
      <c r="AF76" s="131"/>
      <c r="AG76" s="11"/>
      <c r="AH76" s="11"/>
      <c r="AI76" s="11"/>
      <c r="AJ76" s="11"/>
      <c r="AK76" s="11"/>
      <c r="AL76" s="11"/>
      <c r="AM76" s="11"/>
      <c r="AN76" s="10" t="s">
        <v>214</v>
      </c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0" t="s">
        <v>215</v>
      </c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32"/>
      <c r="BQ76" s="131"/>
      <c r="BR76" s="131"/>
      <c r="BS76" s="131"/>
      <c r="BT76" s="131"/>
      <c r="BU76" s="133"/>
    </row>
    <row r="77" spans="1:73" ht="17.25" customHeight="1">
      <c r="A77" s="128"/>
      <c r="B77" s="32" t="s">
        <v>97</v>
      </c>
      <c r="C77" s="3">
        <v>1</v>
      </c>
      <c r="D77" s="4">
        <f t="shared" si="3"/>
        <v>8</v>
      </c>
      <c r="E77" s="5">
        <v>45964</v>
      </c>
      <c r="F77" s="5">
        <v>45971</v>
      </c>
      <c r="G77" s="6" t="s">
        <v>129</v>
      </c>
      <c r="H77" s="1"/>
      <c r="I77" s="1"/>
      <c r="J77" s="1"/>
      <c r="K77" s="1"/>
      <c r="L77" s="1"/>
      <c r="M77" s="1"/>
      <c r="N77" s="1"/>
      <c r="O77" s="165" t="s">
        <v>73</v>
      </c>
      <c r="P77" s="165"/>
      <c r="Q77" s="15"/>
      <c r="R77" s="15"/>
      <c r="S77" s="10" t="s">
        <v>212</v>
      </c>
      <c r="T77" s="15"/>
      <c r="U77" s="15"/>
      <c r="V77" s="1"/>
      <c r="W77" s="1"/>
      <c r="X77" s="1"/>
      <c r="Y77" s="1"/>
      <c r="Z77" s="1"/>
      <c r="AA77" s="1"/>
      <c r="AB77" s="1"/>
      <c r="AC77" s="1"/>
      <c r="AD77" s="170" t="s">
        <v>74</v>
      </c>
      <c r="AE77" s="171"/>
      <c r="AF77" s="171"/>
      <c r="AG77" s="11"/>
      <c r="AH77" s="11"/>
      <c r="AI77" s="11"/>
      <c r="AJ77" s="11"/>
      <c r="AK77" s="11"/>
      <c r="AL77" s="11"/>
      <c r="AM77" s="11"/>
      <c r="AN77" s="10" t="s">
        <v>214</v>
      </c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0" t="s">
        <v>215</v>
      </c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32"/>
      <c r="BQ77" s="131"/>
      <c r="BR77" s="131"/>
      <c r="BS77" s="131"/>
      <c r="BT77" s="131"/>
      <c r="BU77" s="133"/>
    </row>
    <row r="78" spans="1:73" ht="17.25" customHeight="1" outlineLevel="1">
      <c r="A78" s="128"/>
      <c r="B78" s="106" t="s">
        <v>146</v>
      </c>
      <c r="C78" s="3">
        <v>1</v>
      </c>
      <c r="D78" s="4">
        <f t="shared" si="3"/>
        <v>8</v>
      </c>
      <c r="E78" s="5">
        <v>45964</v>
      </c>
      <c r="F78" s="5">
        <v>45971</v>
      </c>
      <c r="G78" s="6" t="s">
        <v>129</v>
      </c>
      <c r="H78" s="1"/>
      <c r="I78" s="1"/>
      <c r="J78" s="1"/>
      <c r="K78" s="1"/>
      <c r="L78" s="1"/>
      <c r="M78" s="1"/>
      <c r="N78" s="1"/>
      <c r="O78" s="165" t="s">
        <v>73</v>
      </c>
      <c r="P78" s="165"/>
      <c r="Q78" s="15"/>
      <c r="R78" s="15"/>
      <c r="S78" s="10" t="s">
        <v>212</v>
      </c>
      <c r="T78" s="15"/>
      <c r="U78" s="15"/>
      <c r="V78" s="1"/>
      <c r="W78" s="1"/>
      <c r="X78" s="1"/>
      <c r="Y78" s="1"/>
      <c r="Z78" s="1"/>
      <c r="AA78" s="1"/>
      <c r="AB78" s="1"/>
      <c r="AC78" s="1"/>
      <c r="AD78" s="170" t="s">
        <v>74</v>
      </c>
      <c r="AE78" s="171"/>
      <c r="AF78" s="171"/>
      <c r="AG78" s="11"/>
      <c r="AH78" s="11"/>
      <c r="AI78" s="11"/>
      <c r="AJ78" s="11"/>
      <c r="AK78" s="11"/>
      <c r="AL78" s="11"/>
      <c r="AM78" s="11"/>
      <c r="AN78" s="10" t="s">
        <v>214</v>
      </c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0" t="s">
        <v>215</v>
      </c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32"/>
      <c r="BQ78" s="131"/>
      <c r="BR78" s="131"/>
      <c r="BS78" s="131"/>
      <c r="BT78" s="131"/>
      <c r="BU78" s="133"/>
    </row>
    <row r="79" spans="1:73" ht="17.25" customHeight="1" outlineLevel="1">
      <c r="A79" s="128"/>
      <c r="B79" s="107" t="s">
        <v>116</v>
      </c>
      <c r="C79" s="3">
        <v>1</v>
      </c>
      <c r="D79" s="4">
        <f t="shared" si="3"/>
        <v>8</v>
      </c>
      <c r="E79" s="5">
        <v>45964</v>
      </c>
      <c r="F79" s="5">
        <v>45971</v>
      </c>
      <c r="G79" s="6" t="s">
        <v>129</v>
      </c>
      <c r="H79" s="1"/>
      <c r="I79" s="1"/>
      <c r="J79" s="1"/>
      <c r="K79" s="1"/>
      <c r="L79" s="1"/>
      <c r="M79" s="1"/>
      <c r="N79" s="1"/>
      <c r="O79" s="165" t="s">
        <v>73</v>
      </c>
      <c r="P79" s="165"/>
      <c r="Q79" s="15"/>
      <c r="R79" s="15"/>
      <c r="S79" s="10" t="s">
        <v>212</v>
      </c>
      <c r="T79" s="15"/>
      <c r="U79" s="15"/>
      <c r="V79" s="1"/>
      <c r="W79" s="1"/>
      <c r="X79" s="1"/>
      <c r="Y79" s="1"/>
      <c r="Z79" s="1"/>
      <c r="AA79" s="1"/>
      <c r="AB79" s="1"/>
      <c r="AC79" s="1"/>
      <c r="AD79" s="170" t="s">
        <v>74</v>
      </c>
      <c r="AE79" s="171"/>
      <c r="AF79" s="171"/>
      <c r="AG79" s="11"/>
      <c r="AH79" s="11"/>
      <c r="AI79" s="11"/>
      <c r="AJ79" s="11"/>
      <c r="AK79" s="11"/>
      <c r="AL79" s="11"/>
      <c r="AM79" s="11"/>
      <c r="AN79" s="10" t="s">
        <v>214</v>
      </c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0" t="s">
        <v>215</v>
      </c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32"/>
      <c r="BQ79" s="132"/>
      <c r="BR79" s="132"/>
      <c r="BS79" s="132"/>
      <c r="BT79" s="132"/>
      <c r="BU79" s="137"/>
    </row>
    <row r="80" spans="1:73" ht="17.25" customHeight="1" outlineLevel="1">
      <c r="A80" s="128"/>
      <c r="B80" s="107" t="s">
        <v>117</v>
      </c>
      <c r="C80" s="3">
        <v>1</v>
      </c>
      <c r="D80" s="4">
        <f t="shared" si="3"/>
        <v>8</v>
      </c>
      <c r="E80" s="5">
        <v>45964</v>
      </c>
      <c r="F80" s="5">
        <v>45971</v>
      </c>
      <c r="G80" s="6" t="s">
        <v>147</v>
      </c>
      <c r="H80" s="1"/>
      <c r="I80" s="1"/>
      <c r="J80" s="1"/>
      <c r="K80" s="1"/>
      <c r="L80" s="1"/>
      <c r="M80" s="1"/>
      <c r="N80" s="1"/>
      <c r="O80" s="165" t="s">
        <v>73</v>
      </c>
      <c r="P80" s="165"/>
      <c r="Q80" s="15"/>
      <c r="R80" s="15"/>
      <c r="S80" s="10" t="s">
        <v>212</v>
      </c>
      <c r="T80" s="15"/>
      <c r="U80" s="15"/>
      <c r="V80" s="1"/>
      <c r="W80" s="1"/>
      <c r="X80" s="1"/>
      <c r="Y80" s="1"/>
      <c r="Z80" s="1"/>
      <c r="AA80" s="1"/>
      <c r="AB80" s="1"/>
      <c r="AC80" s="1"/>
      <c r="AD80" s="170" t="s">
        <v>74</v>
      </c>
      <c r="AE80" s="171"/>
      <c r="AF80" s="171"/>
      <c r="AG80" s="11"/>
      <c r="AH80" s="11"/>
      <c r="AI80" s="11"/>
      <c r="AJ80" s="11"/>
      <c r="AK80" s="11"/>
      <c r="AL80" s="11"/>
      <c r="AM80" s="11"/>
      <c r="AN80" s="10" t="s">
        <v>214</v>
      </c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0" t="s">
        <v>215</v>
      </c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32"/>
      <c r="BQ80" s="132"/>
      <c r="BR80" s="132"/>
      <c r="BS80" s="132"/>
      <c r="BT80" s="132"/>
      <c r="BU80" s="137"/>
    </row>
    <row r="81" spans="1:73" ht="17.25" customHeight="1" outlineLevel="1">
      <c r="A81" s="128"/>
      <c r="B81" s="107" t="s">
        <v>118</v>
      </c>
      <c r="C81" s="3">
        <v>1</v>
      </c>
      <c r="D81" s="4">
        <f t="shared" si="3"/>
        <v>8</v>
      </c>
      <c r="E81" s="5">
        <v>45964</v>
      </c>
      <c r="F81" s="5">
        <v>45971</v>
      </c>
      <c r="G81" s="6" t="s">
        <v>129</v>
      </c>
      <c r="H81" s="1"/>
      <c r="I81" s="1"/>
      <c r="J81" s="1"/>
      <c r="K81" s="1"/>
      <c r="L81" s="1"/>
      <c r="M81" s="1"/>
      <c r="N81" s="1"/>
      <c r="O81" s="165" t="s">
        <v>73</v>
      </c>
      <c r="P81" s="165"/>
      <c r="Q81" s="15"/>
      <c r="R81" s="15"/>
      <c r="S81" s="10" t="s">
        <v>212</v>
      </c>
      <c r="T81" s="15"/>
      <c r="U81" s="15"/>
      <c r="V81" s="1"/>
      <c r="W81" s="1"/>
      <c r="X81" s="1"/>
      <c r="Y81" s="1"/>
      <c r="Z81" s="1"/>
      <c r="AA81" s="1"/>
      <c r="AB81" s="1"/>
      <c r="AC81" s="1"/>
      <c r="AD81" s="170" t="s">
        <v>74</v>
      </c>
      <c r="AE81" s="171"/>
      <c r="AF81" s="171"/>
      <c r="AG81" s="11"/>
      <c r="AH81" s="11"/>
      <c r="AI81" s="11"/>
      <c r="AJ81" s="11"/>
      <c r="AK81" s="11"/>
      <c r="AL81" s="11"/>
      <c r="AM81" s="11"/>
      <c r="AN81" s="10" t="s">
        <v>214</v>
      </c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0" t="s">
        <v>215</v>
      </c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32"/>
      <c r="BQ81" s="132"/>
      <c r="BR81" s="132"/>
      <c r="BS81" s="132"/>
      <c r="BT81" s="132"/>
      <c r="BU81" s="137"/>
    </row>
    <row r="82" spans="1:73" ht="17.25" customHeight="1">
      <c r="A82" s="128"/>
      <c r="B82" s="32" t="s">
        <v>148</v>
      </c>
      <c r="C82" s="3">
        <v>1</v>
      </c>
      <c r="D82" s="4">
        <f t="shared" si="3"/>
        <v>26</v>
      </c>
      <c r="E82" s="5">
        <f>MIN(E83:E85)</f>
        <v>45963</v>
      </c>
      <c r="F82" s="5">
        <f>MAX(F83:F85)</f>
        <v>45988</v>
      </c>
      <c r="G82" s="6" t="s">
        <v>147</v>
      </c>
      <c r="H82" s="1"/>
      <c r="I82" s="1"/>
      <c r="J82" s="1"/>
      <c r="K82" s="1"/>
      <c r="L82" s="1"/>
      <c r="M82" s="1"/>
      <c r="N82" s="1"/>
      <c r="O82" s="165" t="s">
        <v>73</v>
      </c>
      <c r="P82" s="165"/>
      <c r="Q82" s="15"/>
      <c r="R82" s="15"/>
      <c r="S82" s="10" t="s">
        <v>212</v>
      </c>
      <c r="T82" s="15"/>
      <c r="U82" s="15"/>
      <c r="V82" s="1"/>
      <c r="W82" s="1"/>
      <c r="X82" s="1"/>
      <c r="Y82" s="1"/>
      <c r="Z82" s="1"/>
      <c r="AA82" s="1"/>
      <c r="AB82" s="1"/>
      <c r="AC82" s="1"/>
      <c r="AD82" s="130" t="s">
        <v>74</v>
      </c>
      <c r="AE82" s="131"/>
      <c r="AF82" s="131"/>
      <c r="AG82" s="11"/>
      <c r="AH82" s="11"/>
      <c r="AI82" s="11"/>
      <c r="AJ82" s="11"/>
      <c r="AK82" s="11"/>
      <c r="AL82" s="11"/>
      <c r="AM82" s="11"/>
      <c r="AN82" s="10" t="s">
        <v>214</v>
      </c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0" t="s">
        <v>215</v>
      </c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32"/>
      <c r="BQ82" s="131"/>
      <c r="BR82" s="131"/>
      <c r="BS82" s="131"/>
      <c r="BT82" s="131"/>
      <c r="BU82" s="133"/>
    </row>
    <row r="83" spans="1:73" ht="17.25" customHeight="1" outlineLevel="1">
      <c r="A83" s="128"/>
      <c r="B83" s="106" t="s">
        <v>149</v>
      </c>
      <c r="C83" s="3">
        <v>1</v>
      </c>
      <c r="D83" s="4">
        <f t="shared" si="3"/>
        <v>7</v>
      </c>
      <c r="E83" s="5">
        <v>45963</v>
      </c>
      <c r="F83" s="5">
        <v>45969</v>
      </c>
      <c r="G83" s="6" t="s">
        <v>147</v>
      </c>
      <c r="H83" s="1"/>
      <c r="I83" s="1"/>
      <c r="J83" s="1"/>
      <c r="K83" s="1"/>
      <c r="L83" s="1"/>
      <c r="M83" s="1"/>
      <c r="N83" s="1"/>
      <c r="O83" s="165" t="s">
        <v>73</v>
      </c>
      <c r="P83" s="165"/>
      <c r="Q83" s="15"/>
      <c r="R83" s="15"/>
      <c r="S83" s="10" t="s">
        <v>212</v>
      </c>
      <c r="T83" s="15"/>
      <c r="U83" s="15"/>
      <c r="V83" s="1"/>
      <c r="W83" s="1"/>
      <c r="X83" s="1"/>
      <c r="Y83" s="1"/>
      <c r="Z83" s="1"/>
      <c r="AA83" s="1"/>
      <c r="AB83" s="1"/>
      <c r="AC83" s="1"/>
      <c r="AD83" s="170" t="s">
        <v>74</v>
      </c>
      <c r="AE83" s="171"/>
      <c r="AF83" s="171"/>
      <c r="AG83" s="11"/>
      <c r="AH83" s="11"/>
      <c r="AI83" s="11"/>
      <c r="AJ83" s="11"/>
      <c r="AK83" s="11"/>
      <c r="AL83" s="11"/>
      <c r="AM83" s="11"/>
      <c r="AN83" s="10" t="s">
        <v>214</v>
      </c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0" t="s">
        <v>215</v>
      </c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32"/>
      <c r="BQ83" s="131"/>
      <c r="BR83" s="131"/>
      <c r="BS83" s="131"/>
      <c r="BT83" s="131"/>
      <c r="BU83" s="133"/>
    </row>
    <row r="84" spans="1:73" ht="17.25" customHeight="1" outlineLevel="1">
      <c r="A84" s="128"/>
      <c r="B84" s="116" t="s">
        <v>150</v>
      </c>
      <c r="C84" s="3">
        <v>1</v>
      </c>
      <c r="D84" s="4">
        <f t="shared" si="3"/>
        <v>7</v>
      </c>
      <c r="E84" s="5">
        <v>45964</v>
      </c>
      <c r="F84" s="5">
        <v>45970</v>
      </c>
      <c r="G84" s="6" t="s">
        <v>147</v>
      </c>
      <c r="H84" s="1"/>
      <c r="I84" s="1"/>
      <c r="J84" s="1"/>
      <c r="K84" s="1"/>
      <c r="L84" s="1"/>
      <c r="M84" s="1"/>
      <c r="N84" s="1"/>
      <c r="O84" s="165" t="s">
        <v>73</v>
      </c>
      <c r="P84" s="165"/>
      <c r="Q84" s="15"/>
      <c r="R84" s="15"/>
      <c r="S84" s="10" t="s">
        <v>212</v>
      </c>
      <c r="T84" s="15"/>
      <c r="U84" s="15"/>
      <c r="V84" s="1"/>
      <c r="W84" s="1"/>
      <c r="X84" s="1"/>
      <c r="Y84" s="1"/>
      <c r="Z84" s="1"/>
      <c r="AA84" s="1"/>
      <c r="AB84" s="1"/>
      <c r="AC84" s="1"/>
      <c r="AD84" s="170" t="s">
        <v>74</v>
      </c>
      <c r="AE84" s="171"/>
      <c r="AF84" s="171"/>
      <c r="AG84" s="11"/>
      <c r="AH84" s="11"/>
      <c r="AI84" s="11"/>
      <c r="AJ84" s="11"/>
      <c r="AK84" s="11"/>
      <c r="AL84" s="11"/>
      <c r="AM84" s="11"/>
      <c r="AN84" s="10" t="s">
        <v>214</v>
      </c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0" t="s">
        <v>215</v>
      </c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32"/>
      <c r="BQ84" s="131"/>
      <c r="BR84" s="131"/>
      <c r="BS84" s="131"/>
      <c r="BT84" s="131"/>
      <c r="BU84" s="133"/>
    </row>
    <row r="85" spans="1:73" ht="17.25" customHeight="1" outlineLevel="1">
      <c r="A85" s="128"/>
      <c r="B85" s="116" t="s">
        <v>151</v>
      </c>
      <c r="C85" s="3">
        <v>1</v>
      </c>
      <c r="D85" s="4">
        <f t="shared" si="3"/>
        <v>3</v>
      </c>
      <c r="E85" s="5">
        <v>45986</v>
      </c>
      <c r="F85" s="5">
        <v>45988</v>
      </c>
      <c r="G85" s="6" t="s">
        <v>147</v>
      </c>
      <c r="H85" s="1"/>
      <c r="I85" s="1"/>
      <c r="J85" s="1"/>
      <c r="K85" s="1"/>
      <c r="L85" s="1"/>
      <c r="M85" s="1"/>
      <c r="N85" s="1"/>
      <c r="O85" s="165" t="s">
        <v>73</v>
      </c>
      <c r="P85" s="165"/>
      <c r="Q85" s="15"/>
      <c r="R85" s="15"/>
      <c r="S85" s="10" t="s">
        <v>212</v>
      </c>
      <c r="T85" s="15"/>
      <c r="U85" s="15"/>
      <c r="V85" s="1"/>
      <c r="W85" s="1"/>
      <c r="X85" s="1"/>
      <c r="Y85" s="1"/>
      <c r="Z85" s="1"/>
      <c r="AA85" s="1"/>
      <c r="AB85" s="1"/>
      <c r="AC85" s="1"/>
      <c r="AD85" s="170" t="s">
        <v>74</v>
      </c>
      <c r="AE85" s="171"/>
      <c r="AF85" s="171"/>
      <c r="AG85" s="11"/>
      <c r="AH85" s="11"/>
      <c r="AI85" s="11"/>
      <c r="AJ85" s="11"/>
      <c r="AK85" s="11"/>
      <c r="AL85" s="11"/>
      <c r="AM85" s="11"/>
      <c r="AN85" s="10" t="s">
        <v>214</v>
      </c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0" t="s">
        <v>215</v>
      </c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32"/>
      <c r="BQ85" s="131"/>
      <c r="BR85" s="131"/>
      <c r="BS85" s="131"/>
      <c r="BT85" s="131"/>
      <c r="BU85" s="133"/>
    </row>
    <row r="86" spans="1:73" ht="17.25" customHeight="1" outlineLevel="1">
      <c r="A86" s="128"/>
      <c r="B86" s="100" t="s">
        <v>217</v>
      </c>
      <c r="C86" s="3">
        <v>1</v>
      </c>
      <c r="D86" s="4">
        <f t="shared" si="3"/>
        <v>4</v>
      </c>
      <c r="E86" s="5">
        <f>MIN(E87)</f>
        <v>45993</v>
      </c>
      <c r="F86" s="5">
        <f>MAX(F87)</f>
        <v>45996</v>
      </c>
      <c r="G86" s="6" t="s">
        <v>129</v>
      </c>
      <c r="H86" s="1"/>
      <c r="I86" s="1"/>
      <c r="J86" s="1"/>
      <c r="K86" s="1"/>
      <c r="L86" s="1"/>
      <c r="M86" s="1"/>
      <c r="N86" s="1"/>
      <c r="O86" s="165" t="s">
        <v>73</v>
      </c>
      <c r="P86" s="165"/>
      <c r="Q86" s="15"/>
      <c r="R86" s="15"/>
      <c r="S86" s="10" t="s">
        <v>212</v>
      </c>
      <c r="T86" s="15"/>
      <c r="U86" s="15"/>
      <c r="V86" s="1"/>
      <c r="W86" s="1"/>
      <c r="X86" s="1"/>
      <c r="Y86" s="1"/>
      <c r="Z86" s="1"/>
      <c r="AA86" s="1"/>
      <c r="AB86" s="1"/>
      <c r="AC86" s="1"/>
      <c r="AD86" s="170" t="s">
        <v>74</v>
      </c>
      <c r="AE86" s="171"/>
      <c r="AF86" s="171"/>
      <c r="AG86" s="11"/>
      <c r="AH86" s="11"/>
      <c r="AI86" s="11"/>
      <c r="AJ86" s="11"/>
      <c r="AK86" s="11"/>
      <c r="AL86" s="11"/>
      <c r="AM86" s="11"/>
      <c r="AN86" s="10" t="s">
        <v>214</v>
      </c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0" t="s">
        <v>215</v>
      </c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32"/>
      <c r="BQ86" s="131"/>
      <c r="BR86" s="131"/>
      <c r="BS86" s="131"/>
      <c r="BT86" s="131"/>
      <c r="BU86" s="133"/>
    </row>
    <row r="87" spans="1:73" ht="17.25" customHeight="1" outlineLevel="1">
      <c r="A87" s="128"/>
      <c r="B87" s="117" t="s">
        <v>216</v>
      </c>
      <c r="C87" s="3">
        <v>1</v>
      </c>
      <c r="D87" s="4">
        <f t="shared" si="3"/>
        <v>4</v>
      </c>
      <c r="E87" s="5">
        <v>45993</v>
      </c>
      <c r="F87" s="5">
        <v>45996</v>
      </c>
      <c r="G87" s="6" t="s">
        <v>129</v>
      </c>
      <c r="H87" s="1"/>
      <c r="I87" s="1"/>
      <c r="J87" s="1"/>
      <c r="K87" s="1"/>
      <c r="L87" s="1"/>
      <c r="M87" s="1"/>
      <c r="N87" s="1"/>
      <c r="O87" s="165" t="s">
        <v>73</v>
      </c>
      <c r="P87" s="165"/>
      <c r="Q87" s="15"/>
      <c r="R87" s="15"/>
      <c r="S87" s="10" t="s">
        <v>212</v>
      </c>
      <c r="T87" s="15"/>
      <c r="U87" s="15"/>
      <c r="V87" s="1"/>
      <c r="W87" s="1"/>
      <c r="X87" s="1"/>
      <c r="Y87" s="1"/>
      <c r="Z87" s="1"/>
      <c r="AA87" s="1"/>
      <c r="AB87" s="1"/>
      <c r="AC87" s="1"/>
      <c r="AD87" s="170" t="s">
        <v>74</v>
      </c>
      <c r="AE87" s="171"/>
      <c r="AF87" s="171"/>
      <c r="AG87" s="11"/>
      <c r="AH87" s="11"/>
      <c r="AI87" s="11"/>
      <c r="AJ87" s="11"/>
      <c r="AK87" s="11"/>
      <c r="AL87" s="11"/>
      <c r="AM87" s="11"/>
      <c r="AN87" s="10" t="s">
        <v>214</v>
      </c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0" t="s">
        <v>215</v>
      </c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32"/>
      <c r="BQ87" s="131"/>
      <c r="BR87" s="131"/>
      <c r="BS87" s="131"/>
      <c r="BT87" s="131"/>
      <c r="BU87" s="133"/>
    </row>
    <row r="88" spans="1:73" ht="17.25" customHeight="1">
      <c r="A88" s="128"/>
      <c r="B88" s="30" t="s">
        <v>152</v>
      </c>
      <c r="C88" s="3">
        <v>1</v>
      </c>
      <c r="D88" s="4">
        <f t="shared" si="3"/>
        <v>34</v>
      </c>
      <c r="E88" s="5">
        <f>MIN(E89:E114)</f>
        <v>45967</v>
      </c>
      <c r="F88" s="5">
        <f>MAX(F89:F114)</f>
        <v>46000</v>
      </c>
      <c r="G88" s="6" t="s">
        <v>189</v>
      </c>
      <c r="H88" s="1"/>
      <c r="I88" s="1"/>
      <c r="J88" s="1"/>
      <c r="K88" s="1"/>
      <c r="L88" s="1"/>
      <c r="M88" s="1"/>
      <c r="N88" s="1"/>
      <c r="O88" s="165" t="s">
        <v>73</v>
      </c>
      <c r="P88" s="165"/>
      <c r="Q88" s="15"/>
      <c r="R88" s="15"/>
      <c r="S88" s="10" t="s">
        <v>212</v>
      </c>
      <c r="T88" s="15"/>
      <c r="U88" s="15"/>
      <c r="V88" s="1"/>
      <c r="W88" s="1"/>
      <c r="X88" s="1"/>
      <c r="Y88" s="1"/>
      <c r="Z88" s="1"/>
      <c r="AA88" s="1"/>
      <c r="AB88" s="1"/>
      <c r="AC88" s="1"/>
      <c r="AD88" s="130" t="s">
        <v>74</v>
      </c>
      <c r="AE88" s="131"/>
      <c r="AF88" s="131"/>
      <c r="AG88" s="11"/>
      <c r="AH88" s="11"/>
      <c r="AI88" s="11"/>
      <c r="AJ88" s="11"/>
      <c r="AK88" s="11"/>
      <c r="AL88" s="11"/>
      <c r="AM88" s="11"/>
      <c r="AN88" s="10" t="s">
        <v>214</v>
      </c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0" t="s">
        <v>215</v>
      </c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32"/>
      <c r="BQ88" s="131"/>
      <c r="BR88" s="131"/>
      <c r="BS88" s="131"/>
      <c r="BT88" s="131"/>
      <c r="BU88" s="133"/>
    </row>
    <row r="89" spans="1:73" ht="17.25" customHeight="1">
      <c r="A89" s="128"/>
      <c r="B89" s="36" t="s">
        <v>98</v>
      </c>
      <c r="C89" s="3">
        <v>1</v>
      </c>
      <c r="D89" s="4">
        <f t="shared" si="3"/>
        <v>21</v>
      </c>
      <c r="E89" s="5">
        <v>45969</v>
      </c>
      <c r="F89" s="5">
        <v>45989</v>
      </c>
      <c r="G89" s="6" t="s">
        <v>147</v>
      </c>
      <c r="H89" s="1"/>
      <c r="I89" s="1"/>
      <c r="J89" s="1"/>
      <c r="K89" s="1"/>
      <c r="L89" s="1"/>
      <c r="M89" s="1"/>
      <c r="N89" s="1"/>
      <c r="O89" s="165" t="s">
        <v>73</v>
      </c>
      <c r="P89" s="165"/>
      <c r="Q89" s="15"/>
      <c r="R89" s="15"/>
      <c r="S89" s="10" t="s">
        <v>212</v>
      </c>
      <c r="T89" s="15"/>
      <c r="U89" s="15"/>
      <c r="V89" s="1"/>
      <c r="W89" s="1"/>
      <c r="X89" s="1"/>
      <c r="Y89" s="1"/>
      <c r="Z89" s="1"/>
      <c r="AA89" s="1"/>
      <c r="AB89" s="1"/>
      <c r="AC89" s="1"/>
      <c r="AD89" s="130" t="s">
        <v>74</v>
      </c>
      <c r="AE89" s="131"/>
      <c r="AF89" s="131"/>
      <c r="AG89" s="11"/>
      <c r="AH89" s="11"/>
      <c r="AI89" s="11"/>
      <c r="AJ89" s="11"/>
      <c r="AK89" s="11"/>
      <c r="AL89" s="11"/>
      <c r="AM89" s="11"/>
      <c r="AN89" s="10" t="s">
        <v>214</v>
      </c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0" t="s">
        <v>215</v>
      </c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32"/>
      <c r="BQ89" s="131"/>
      <c r="BR89" s="131"/>
      <c r="BS89" s="131"/>
      <c r="BT89" s="131"/>
      <c r="BU89" s="133"/>
    </row>
    <row r="90" spans="1:73" ht="17.25" customHeight="1" outlineLevel="1">
      <c r="A90" s="128"/>
      <c r="B90" s="109" t="s">
        <v>161</v>
      </c>
      <c r="C90" s="3">
        <v>1</v>
      </c>
      <c r="D90" s="4">
        <f t="shared" si="3"/>
        <v>11</v>
      </c>
      <c r="E90" s="5">
        <v>45969</v>
      </c>
      <c r="F90" s="5">
        <v>45979</v>
      </c>
      <c r="G90" s="6" t="s">
        <v>147</v>
      </c>
      <c r="H90" s="1"/>
      <c r="I90" s="1"/>
      <c r="J90" s="1"/>
      <c r="K90" s="1"/>
      <c r="L90" s="1"/>
      <c r="M90" s="1"/>
      <c r="N90" s="1"/>
      <c r="O90" s="165" t="s">
        <v>73</v>
      </c>
      <c r="P90" s="165"/>
      <c r="Q90" s="15"/>
      <c r="R90" s="15"/>
      <c r="S90" s="10" t="s">
        <v>212</v>
      </c>
      <c r="T90" s="15"/>
      <c r="U90" s="15"/>
      <c r="V90" s="1"/>
      <c r="W90" s="1"/>
      <c r="X90" s="1"/>
      <c r="Y90" s="1"/>
      <c r="Z90" s="1"/>
      <c r="AA90" s="1"/>
      <c r="AB90" s="1"/>
      <c r="AC90" s="1"/>
      <c r="AD90" s="130" t="s">
        <v>74</v>
      </c>
      <c r="AE90" s="131"/>
      <c r="AF90" s="131"/>
      <c r="AG90" s="11"/>
      <c r="AH90" s="11"/>
      <c r="AI90" s="11"/>
      <c r="AJ90" s="11"/>
      <c r="AK90" s="11"/>
      <c r="AL90" s="11"/>
      <c r="AM90" s="11"/>
      <c r="AN90" s="10" t="s">
        <v>214</v>
      </c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0" t="s">
        <v>215</v>
      </c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32"/>
      <c r="BQ90" s="131"/>
      <c r="BR90" s="131"/>
      <c r="BS90" s="131"/>
      <c r="BT90" s="131"/>
      <c r="BU90" s="133"/>
    </row>
    <row r="91" spans="1:73" ht="17.25" customHeight="1" outlineLevel="1">
      <c r="A91" s="128"/>
      <c r="B91" s="109" t="s">
        <v>162</v>
      </c>
      <c r="C91" s="3">
        <v>1</v>
      </c>
      <c r="D91" s="4">
        <f t="shared" si="3"/>
        <v>21</v>
      </c>
      <c r="E91" s="5">
        <v>45969</v>
      </c>
      <c r="F91" s="5">
        <v>45989</v>
      </c>
      <c r="G91" s="6" t="s">
        <v>147</v>
      </c>
      <c r="H91" s="1"/>
      <c r="I91" s="1"/>
      <c r="J91" s="1"/>
      <c r="K91" s="1"/>
      <c r="L91" s="1"/>
      <c r="M91" s="1"/>
      <c r="N91" s="1"/>
      <c r="O91" s="165" t="s">
        <v>73</v>
      </c>
      <c r="P91" s="165"/>
      <c r="Q91" s="15"/>
      <c r="R91" s="15"/>
      <c r="S91" s="10" t="s">
        <v>212</v>
      </c>
      <c r="T91" s="15"/>
      <c r="U91" s="15"/>
      <c r="V91" s="1"/>
      <c r="W91" s="1"/>
      <c r="X91" s="1"/>
      <c r="Y91" s="1"/>
      <c r="Z91" s="1"/>
      <c r="AA91" s="1"/>
      <c r="AB91" s="1"/>
      <c r="AC91" s="1"/>
      <c r="AD91" s="130" t="s">
        <v>74</v>
      </c>
      <c r="AE91" s="131"/>
      <c r="AF91" s="131"/>
      <c r="AG91" s="11"/>
      <c r="AH91" s="11"/>
      <c r="AI91" s="11"/>
      <c r="AJ91" s="11"/>
      <c r="AK91" s="11"/>
      <c r="AL91" s="11"/>
      <c r="AM91" s="11"/>
      <c r="AN91" s="10" t="s">
        <v>214</v>
      </c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0" t="s">
        <v>215</v>
      </c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32"/>
      <c r="BQ91" s="131"/>
      <c r="BR91" s="131"/>
      <c r="BS91" s="131"/>
      <c r="BT91" s="131"/>
      <c r="BU91" s="133"/>
    </row>
    <row r="92" spans="1:73" ht="17.25" customHeight="1" outlineLevel="1">
      <c r="A92" s="128"/>
      <c r="B92" s="109" t="s">
        <v>163</v>
      </c>
      <c r="C92" s="3">
        <v>1</v>
      </c>
      <c r="D92" s="4">
        <f t="shared" si="3"/>
        <v>7</v>
      </c>
      <c r="E92" s="5">
        <v>45969</v>
      </c>
      <c r="F92" s="5">
        <v>45975</v>
      </c>
      <c r="G92" s="6" t="s">
        <v>147</v>
      </c>
      <c r="H92" s="1"/>
      <c r="I92" s="1"/>
      <c r="J92" s="1"/>
      <c r="K92" s="1"/>
      <c r="L92" s="1"/>
      <c r="M92" s="1"/>
      <c r="N92" s="1"/>
      <c r="O92" s="165" t="s">
        <v>73</v>
      </c>
      <c r="P92" s="165"/>
      <c r="Q92" s="15"/>
      <c r="R92" s="15"/>
      <c r="S92" s="10" t="s">
        <v>212</v>
      </c>
      <c r="T92" s="15"/>
      <c r="U92" s="15"/>
      <c r="V92" s="1"/>
      <c r="W92" s="1"/>
      <c r="X92" s="1"/>
      <c r="Y92" s="1"/>
      <c r="Z92" s="1"/>
      <c r="AA92" s="1"/>
      <c r="AB92" s="1"/>
      <c r="AC92" s="1"/>
      <c r="AD92" s="130" t="s">
        <v>74</v>
      </c>
      <c r="AE92" s="131"/>
      <c r="AF92" s="131"/>
      <c r="AG92" s="11"/>
      <c r="AH92" s="11"/>
      <c r="AI92" s="11"/>
      <c r="AJ92" s="11"/>
      <c r="AK92" s="11"/>
      <c r="AL92" s="11"/>
      <c r="AM92" s="11"/>
      <c r="AN92" s="10" t="s">
        <v>214</v>
      </c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0" t="s">
        <v>215</v>
      </c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32"/>
      <c r="BQ92" s="131"/>
      <c r="BR92" s="131"/>
      <c r="BS92" s="131"/>
      <c r="BT92" s="131"/>
      <c r="BU92" s="133"/>
    </row>
    <row r="93" spans="1:73" ht="17.25" customHeight="1">
      <c r="A93" s="128"/>
      <c r="B93" s="36" t="s">
        <v>99</v>
      </c>
      <c r="C93" s="3">
        <v>1</v>
      </c>
      <c r="D93" s="4">
        <f t="shared" si="3"/>
        <v>16</v>
      </c>
      <c r="E93" s="5">
        <v>45967</v>
      </c>
      <c r="F93" s="5">
        <v>45982</v>
      </c>
      <c r="G93" s="6" t="s">
        <v>129</v>
      </c>
      <c r="H93" s="1"/>
      <c r="I93" s="1"/>
      <c r="J93" s="1"/>
      <c r="K93" s="1"/>
      <c r="L93" s="1"/>
      <c r="M93" s="1"/>
      <c r="N93" s="1"/>
      <c r="O93" s="165" t="s">
        <v>73</v>
      </c>
      <c r="P93" s="165"/>
      <c r="Q93" s="15"/>
      <c r="R93" s="15"/>
      <c r="S93" s="10" t="s">
        <v>212</v>
      </c>
      <c r="T93" s="15"/>
      <c r="U93" s="15"/>
      <c r="V93" s="1"/>
      <c r="W93" s="1"/>
      <c r="X93" s="1"/>
      <c r="Y93" s="1"/>
      <c r="Z93" s="1"/>
      <c r="AA93" s="1"/>
      <c r="AB93" s="1"/>
      <c r="AC93" s="1"/>
      <c r="AD93" s="130" t="s">
        <v>74</v>
      </c>
      <c r="AE93" s="131"/>
      <c r="AF93" s="131"/>
      <c r="AG93" s="11"/>
      <c r="AH93" s="11"/>
      <c r="AI93" s="11"/>
      <c r="AJ93" s="11"/>
      <c r="AK93" s="11"/>
      <c r="AL93" s="11"/>
      <c r="AM93" s="11"/>
      <c r="AN93" s="10" t="s">
        <v>214</v>
      </c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0" t="s">
        <v>215</v>
      </c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32"/>
      <c r="BQ93" s="131"/>
      <c r="BR93" s="131"/>
      <c r="BS93" s="131"/>
      <c r="BT93" s="131"/>
      <c r="BU93" s="133"/>
    </row>
    <row r="94" spans="1:73" ht="17.25" customHeight="1" outlineLevel="1">
      <c r="A94" s="128"/>
      <c r="B94" s="118" t="s">
        <v>164</v>
      </c>
      <c r="C94" s="3">
        <v>1</v>
      </c>
      <c r="D94" s="4">
        <f t="shared" si="3"/>
        <v>16</v>
      </c>
      <c r="E94" s="5">
        <v>45967</v>
      </c>
      <c r="F94" s="5">
        <v>45982</v>
      </c>
      <c r="G94" s="6" t="s">
        <v>129</v>
      </c>
      <c r="H94" s="1"/>
      <c r="I94" s="1"/>
      <c r="J94" s="1"/>
      <c r="K94" s="1"/>
      <c r="L94" s="1"/>
      <c r="M94" s="1"/>
      <c r="N94" s="1"/>
      <c r="O94" s="165" t="s">
        <v>73</v>
      </c>
      <c r="P94" s="165"/>
      <c r="Q94" s="15"/>
      <c r="R94" s="15"/>
      <c r="S94" s="10" t="s">
        <v>212</v>
      </c>
      <c r="T94" s="15"/>
      <c r="U94" s="15"/>
      <c r="V94" s="1"/>
      <c r="W94" s="1"/>
      <c r="X94" s="1"/>
      <c r="Y94" s="1"/>
      <c r="Z94" s="1"/>
      <c r="AA94" s="1"/>
      <c r="AB94" s="1"/>
      <c r="AC94" s="1"/>
      <c r="AD94" s="130" t="s">
        <v>74</v>
      </c>
      <c r="AE94" s="131"/>
      <c r="AF94" s="131"/>
      <c r="AG94" s="11"/>
      <c r="AH94" s="11"/>
      <c r="AI94" s="11"/>
      <c r="AJ94" s="11"/>
      <c r="AK94" s="11"/>
      <c r="AL94" s="11"/>
      <c r="AM94" s="11"/>
      <c r="AN94" s="10" t="s">
        <v>214</v>
      </c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0" t="s">
        <v>215</v>
      </c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32"/>
      <c r="BQ94" s="131"/>
      <c r="BR94" s="131"/>
      <c r="BS94" s="131"/>
      <c r="BT94" s="131"/>
      <c r="BU94" s="133"/>
    </row>
    <row r="95" spans="1:73" ht="17.25" customHeight="1" outlineLevel="1">
      <c r="A95" s="128"/>
      <c r="B95" s="118" t="s">
        <v>165</v>
      </c>
      <c r="C95" s="3">
        <v>1</v>
      </c>
      <c r="D95" s="4">
        <f t="shared" si="3"/>
        <v>15</v>
      </c>
      <c r="E95" s="5">
        <v>45967</v>
      </c>
      <c r="F95" s="5">
        <v>45981</v>
      </c>
      <c r="G95" s="6" t="s">
        <v>129</v>
      </c>
      <c r="H95" s="37"/>
      <c r="I95" s="38"/>
      <c r="J95" s="38"/>
      <c r="K95" s="37"/>
      <c r="L95" s="37"/>
      <c r="M95" s="37"/>
      <c r="N95" s="1"/>
      <c r="O95" s="165" t="s">
        <v>73</v>
      </c>
      <c r="P95" s="165"/>
      <c r="Q95" s="15"/>
      <c r="R95" s="15"/>
      <c r="S95" s="10" t="s">
        <v>212</v>
      </c>
      <c r="T95" s="15"/>
      <c r="U95" s="15"/>
      <c r="V95" s="1"/>
      <c r="W95" s="1"/>
      <c r="X95" s="1"/>
      <c r="Y95" s="1"/>
      <c r="Z95" s="1"/>
      <c r="AA95" s="1"/>
      <c r="AB95" s="1"/>
      <c r="AC95" s="1"/>
      <c r="AD95" s="130" t="s">
        <v>74</v>
      </c>
      <c r="AE95" s="131"/>
      <c r="AF95" s="131"/>
      <c r="AG95" s="11"/>
      <c r="AH95" s="11"/>
      <c r="AI95" s="11"/>
      <c r="AJ95" s="11"/>
      <c r="AK95" s="11"/>
      <c r="AL95" s="11"/>
      <c r="AM95" s="11"/>
      <c r="AN95" s="10" t="s">
        <v>214</v>
      </c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0" t="s">
        <v>215</v>
      </c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32"/>
      <c r="BQ95" s="131"/>
      <c r="BR95" s="131"/>
      <c r="BS95" s="131"/>
      <c r="BT95" s="131"/>
      <c r="BU95" s="133"/>
    </row>
    <row r="96" spans="1:73" ht="17.25" customHeight="1" outlineLevel="1">
      <c r="A96" s="128"/>
      <c r="B96" s="118" t="s">
        <v>166</v>
      </c>
      <c r="C96" s="3">
        <v>1</v>
      </c>
      <c r="D96" s="4">
        <f t="shared" si="3"/>
        <v>5</v>
      </c>
      <c r="E96" s="5">
        <v>45978</v>
      </c>
      <c r="F96" s="5">
        <v>45982</v>
      </c>
      <c r="G96" s="6" t="s">
        <v>129</v>
      </c>
      <c r="H96" s="37"/>
      <c r="I96" s="38"/>
      <c r="J96" s="38"/>
      <c r="K96" s="37"/>
      <c r="L96" s="37"/>
      <c r="M96" s="37"/>
      <c r="N96" s="1"/>
      <c r="O96" s="165" t="s">
        <v>73</v>
      </c>
      <c r="P96" s="165"/>
      <c r="Q96" s="15"/>
      <c r="R96" s="15"/>
      <c r="S96" s="10" t="s">
        <v>212</v>
      </c>
      <c r="T96" s="15"/>
      <c r="U96" s="15"/>
      <c r="V96" s="1"/>
      <c r="W96" s="1"/>
      <c r="X96" s="1"/>
      <c r="Y96" s="1"/>
      <c r="Z96" s="1"/>
      <c r="AA96" s="1"/>
      <c r="AB96" s="1"/>
      <c r="AC96" s="1"/>
      <c r="AD96" s="170" t="s">
        <v>74</v>
      </c>
      <c r="AE96" s="171"/>
      <c r="AF96" s="171"/>
      <c r="AG96" s="11"/>
      <c r="AH96" s="11"/>
      <c r="AI96" s="11"/>
      <c r="AJ96" s="11"/>
      <c r="AK96" s="11"/>
      <c r="AL96" s="11"/>
      <c r="AM96" s="11"/>
      <c r="AN96" s="10" t="s">
        <v>214</v>
      </c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0" t="s">
        <v>215</v>
      </c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32"/>
      <c r="BQ96" s="131"/>
      <c r="BR96" s="131"/>
      <c r="BS96" s="131"/>
      <c r="BT96" s="131"/>
      <c r="BU96" s="133"/>
    </row>
    <row r="97" spans="1:73" ht="17.25" customHeight="1">
      <c r="A97" s="128"/>
      <c r="B97" s="36" t="s">
        <v>100</v>
      </c>
      <c r="C97" s="3">
        <v>1</v>
      </c>
      <c r="D97" s="4">
        <f t="shared" si="3"/>
        <v>11</v>
      </c>
      <c r="E97" s="5">
        <v>45972</v>
      </c>
      <c r="F97" s="5">
        <v>45982</v>
      </c>
      <c r="G97" s="6" t="s">
        <v>128</v>
      </c>
      <c r="H97" s="37"/>
      <c r="I97" s="38"/>
      <c r="J97" s="38"/>
      <c r="K97" s="37"/>
      <c r="L97" s="37"/>
      <c r="M97" s="37"/>
      <c r="N97" s="1"/>
      <c r="O97" s="165" t="s">
        <v>73</v>
      </c>
      <c r="P97" s="165"/>
      <c r="Q97" s="15"/>
      <c r="R97" s="15"/>
      <c r="S97" s="10" t="s">
        <v>212</v>
      </c>
      <c r="T97" s="15"/>
      <c r="U97" s="15"/>
      <c r="V97" s="1"/>
      <c r="W97" s="1"/>
      <c r="X97" s="1"/>
      <c r="Y97" s="1"/>
      <c r="Z97" s="1"/>
      <c r="AA97" s="1"/>
      <c r="AB97" s="1"/>
      <c r="AC97" s="1"/>
      <c r="AD97" s="130" t="s">
        <v>74</v>
      </c>
      <c r="AE97" s="131"/>
      <c r="AF97" s="131"/>
      <c r="AG97" s="11"/>
      <c r="AH97" s="11"/>
      <c r="AI97" s="11"/>
      <c r="AJ97" s="11"/>
      <c r="AK97" s="11"/>
      <c r="AL97" s="11"/>
      <c r="AM97" s="11"/>
      <c r="AN97" s="10" t="s">
        <v>214</v>
      </c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0" t="s">
        <v>215</v>
      </c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32"/>
      <c r="BQ97" s="131"/>
      <c r="BR97" s="131"/>
      <c r="BS97" s="131"/>
      <c r="BT97" s="131"/>
      <c r="BU97" s="133"/>
    </row>
    <row r="98" spans="1:73" ht="17.25" customHeight="1" outlineLevel="1">
      <c r="A98" s="128"/>
      <c r="B98" s="108" t="s">
        <v>167</v>
      </c>
      <c r="C98" s="3">
        <v>1</v>
      </c>
      <c r="D98" s="4">
        <f t="shared" si="3"/>
        <v>11</v>
      </c>
      <c r="E98" s="5">
        <v>45972</v>
      </c>
      <c r="F98" s="5">
        <v>45982</v>
      </c>
      <c r="G98" s="6" t="s">
        <v>128</v>
      </c>
      <c r="H98" s="37"/>
      <c r="I98" s="38"/>
      <c r="J98" s="38"/>
      <c r="K98" s="37"/>
      <c r="L98" s="37"/>
      <c r="M98" s="37"/>
      <c r="N98" s="1"/>
      <c r="O98" s="165" t="s">
        <v>73</v>
      </c>
      <c r="P98" s="165"/>
      <c r="Q98" s="15"/>
      <c r="R98" s="15"/>
      <c r="S98" s="10" t="s">
        <v>212</v>
      </c>
      <c r="T98" s="15"/>
      <c r="U98" s="15"/>
      <c r="V98" s="1"/>
      <c r="W98" s="1"/>
      <c r="X98" s="1"/>
      <c r="Y98" s="1"/>
      <c r="Z98" s="1"/>
      <c r="AA98" s="1"/>
      <c r="AB98" s="1"/>
      <c r="AC98" s="1"/>
      <c r="AD98" s="130" t="s">
        <v>74</v>
      </c>
      <c r="AE98" s="131"/>
      <c r="AF98" s="131"/>
      <c r="AG98" s="11"/>
      <c r="AH98" s="11"/>
      <c r="AI98" s="11"/>
      <c r="AJ98" s="11"/>
      <c r="AK98" s="11"/>
      <c r="AL98" s="11"/>
      <c r="AM98" s="11"/>
      <c r="AN98" s="10" t="s">
        <v>214</v>
      </c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0" t="s">
        <v>215</v>
      </c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32"/>
      <c r="BQ98" s="131"/>
      <c r="BR98" s="131"/>
      <c r="BS98" s="131"/>
      <c r="BT98" s="131"/>
      <c r="BU98" s="133"/>
    </row>
    <row r="99" spans="1:73" ht="17.25" customHeight="1" outlineLevel="1">
      <c r="A99" s="128"/>
      <c r="B99" s="108" t="s">
        <v>168</v>
      </c>
      <c r="C99" s="3">
        <v>1</v>
      </c>
      <c r="D99" s="4">
        <f t="shared" si="3"/>
        <v>11</v>
      </c>
      <c r="E99" s="5">
        <v>45972</v>
      </c>
      <c r="F99" s="5">
        <v>45982</v>
      </c>
      <c r="G99" s="6" t="s">
        <v>128</v>
      </c>
      <c r="H99" s="1"/>
      <c r="I99" s="1"/>
      <c r="J99" s="1"/>
      <c r="K99" s="1"/>
      <c r="L99" s="1"/>
      <c r="M99" s="1"/>
      <c r="N99" s="1"/>
      <c r="O99" s="165" t="s">
        <v>73</v>
      </c>
      <c r="P99" s="165"/>
      <c r="Q99" s="15"/>
      <c r="R99" s="15"/>
      <c r="S99" s="10" t="s">
        <v>212</v>
      </c>
      <c r="T99" s="15"/>
      <c r="U99" s="15"/>
      <c r="V99" s="1"/>
      <c r="W99" s="1"/>
      <c r="X99" s="1"/>
      <c r="Y99" s="1"/>
      <c r="Z99" s="1"/>
      <c r="AA99" s="1"/>
      <c r="AB99" s="1"/>
      <c r="AC99" s="1"/>
      <c r="AD99" s="130" t="s">
        <v>74</v>
      </c>
      <c r="AE99" s="131"/>
      <c r="AF99" s="131"/>
      <c r="AG99" s="11"/>
      <c r="AH99" s="11"/>
      <c r="AI99" s="11"/>
      <c r="AJ99" s="11"/>
      <c r="AK99" s="11"/>
      <c r="AL99" s="11"/>
      <c r="AM99" s="11"/>
      <c r="AN99" s="10" t="s">
        <v>214</v>
      </c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0" t="s">
        <v>215</v>
      </c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32"/>
      <c r="BQ99" s="131"/>
      <c r="BR99" s="131"/>
      <c r="BS99" s="131"/>
      <c r="BT99" s="131"/>
      <c r="BU99" s="133"/>
    </row>
    <row r="100" spans="1:73" ht="17.25" customHeight="1" outlineLevel="1">
      <c r="A100" s="128"/>
      <c r="B100" s="108" t="s">
        <v>169</v>
      </c>
      <c r="C100" s="3">
        <v>1</v>
      </c>
      <c r="D100" s="4">
        <f t="shared" si="3"/>
        <v>11</v>
      </c>
      <c r="E100" s="5">
        <v>45972</v>
      </c>
      <c r="F100" s="5">
        <v>45982</v>
      </c>
      <c r="G100" s="6" t="s">
        <v>128</v>
      </c>
      <c r="H100" s="1"/>
      <c r="I100" s="1"/>
      <c r="J100" s="1"/>
      <c r="K100" s="1"/>
      <c r="L100" s="1"/>
      <c r="M100" s="1"/>
      <c r="N100" s="1"/>
      <c r="O100" s="165" t="s">
        <v>73</v>
      </c>
      <c r="P100" s="165"/>
      <c r="Q100" s="15"/>
      <c r="R100" s="15"/>
      <c r="S100" s="10" t="s">
        <v>212</v>
      </c>
      <c r="T100" s="15"/>
      <c r="U100" s="15"/>
      <c r="V100" s="1"/>
      <c r="W100" s="1"/>
      <c r="X100" s="1"/>
      <c r="Y100" s="1"/>
      <c r="Z100" s="1"/>
      <c r="AA100" s="1"/>
      <c r="AB100" s="1"/>
      <c r="AC100" s="1"/>
      <c r="AD100" s="130" t="s">
        <v>74</v>
      </c>
      <c r="AE100" s="131"/>
      <c r="AF100" s="131"/>
      <c r="AG100" s="11"/>
      <c r="AH100" s="11"/>
      <c r="AI100" s="11"/>
      <c r="AJ100" s="11"/>
      <c r="AK100" s="11"/>
      <c r="AL100" s="11"/>
      <c r="AM100" s="11"/>
      <c r="AN100" s="10" t="s">
        <v>214</v>
      </c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0" t="s">
        <v>215</v>
      </c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32"/>
      <c r="BQ100" s="131"/>
      <c r="BR100" s="131"/>
      <c r="BS100" s="131"/>
      <c r="BT100" s="131"/>
      <c r="BU100" s="133"/>
    </row>
    <row r="101" spans="1:73" ht="17.25" customHeight="1">
      <c r="A101" s="128"/>
      <c r="B101" s="36" t="s">
        <v>101</v>
      </c>
      <c r="C101" s="3">
        <v>1</v>
      </c>
      <c r="D101" s="4">
        <f t="shared" si="3"/>
        <v>11</v>
      </c>
      <c r="E101" s="5">
        <v>45972</v>
      </c>
      <c r="F101" s="5">
        <v>45982</v>
      </c>
      <c r="G101" s="6" t="s">
        <v>133</v>
      </c>
      <c r="H101" s="1"/>
      <c r="I101" s="1"/>
      <c r="J101" s="1"/>
      <c r="K101" s="1"/>
      <c r="L101" s="1"/>
      <c r="M101" s="1"/>
      <c r="N101" s="1"/>
      <c r="O101" s="165" t="s">
        <v>73</v>
      </c>
      <c r="P101" s="165"/>
      <c r="Q101" s="15"/>
      <c r="R101" s="15"/>
      <c r="S101" s="10" t="s">
        <v>212</v>
      </c>
      <c r="T101" s="15"/>
      <c r="U101" s="15"/>
      <c r="V101" s="1"/>
      <c r="W101" s="1"/>
      <c r="X101" s="1"/>
      <c r="Y101" s="1"/>
      <c r="Z101" s="1"/>
      <c r="AA101" s="1"/>
      <c r="AB101" s="1"/>
      <c r="AC101" s="1"/>
      <c r="AD101" s="130" t="s">
        <v>74</v>
      </c>
      <c r="AE101" s="131"/>
      <c r="AF101" s="131"/>
      <c r="AG101" s="11"/>
      <c r="AH101" s="11"/>
      <c r="AI101" s="11"/>
      <c r="AJ101" s="11"/>
      <c r="AK101" s="11"/>
      <c r="AL101" s="11"/>
      <c r="AM101" s="11"/>
      <c r="AN101" s="10" t="s">
        <v>214</v>
      </c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0" t="s">
        <v>215</v>
      </c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32"/>
      <c r="BQ101" s="131"/>
      <c r="BR101" s="131"/>
      <c r="BS101" s="131"/>
      <c r="BT101" s="131"/>
      <c r="BU101" s="133"/>
    </row>
    <row r="102" spans="1:73" ht="17.25" customHeight="1" outlineLevel="1">
      <c r="A102" s="128"/>
      <c r="B102" s="116" t="s">
        <v>170</v>
      </c>
      <c r="C102" s="3">
        <v>1</v>
      </c>
      <c r="D102" s="4">
        <f t="shared" si="3"/>
        <v>11</v>
      </c>
      <c r="E102" s="5">
        <v>45972</v>
      </c>
      <c r="F102" s="5">
        <v>45982</v>
      </c>
      <c r="G102" s="6" t="s">
        <v>133</v>
      </c>
      <c r="H102" s="1"/>
      <c r="I102" s="1"/>
      <c r="J102" s="1"/>
      <c r="K102" s="1"/>
      <c r="L102" s="1"/>
      <c r="M102" s="1"/>
      <c r="N102" s="1"/>
      <c r="O102" s="165" t="s">
        <v>73</v>
      </c>
      <c r="P102" s="165"/>
      <c r="Q102" s="15"/>
      <c r="R102" s="15"/>
      <c r="S102" s="10" t="s">
        <v>212</v>
      </c>
      <c r="T102" s="15"/>
      <c r="U102" s="15"/>
      <c r="V102" s="1"/>
      <c r="W102" s="1"/>
      <c r="X102" s="1"/>
      <c r="Y102" s="1"/>
      <c r="Z102" s="1"/>
      <c r="AA102" s="1"/>
      <c r="AB102" s="1"/>
      <c r="AC102" s="1"/>
      <c r="AD102" s="130" t="s">
        <v>74</v>
      </c>
      <c r="AE102" s="131"/>
      <c r="AF102" s="131"/>
      <c r="AG102" s="11"/>
      <c r="AH102" s="11"/>
      <c r="AI102" s="11"/>
      <c r="AJ102" s="11"/>
      <c r="AK102" s="11"/>
      <c r="AL102" s="11"/>
      <c r="AM102" s="11"/>
      <c r="AN102" s="10" t="s">
        <v>214</v>
      </c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0" t="s">
        <v>215</v>
      </c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32"/>
      <c r="BQ102" s="131"/>
      <c r="BR102" s="131"/>
      <c r="BS102" s="131"/>
      <c r="BT102" s="131"/>
      <c r="BU102" s="133"/>
    </row>
    <row r="103" spans="1:73" ht="17.25" customHeight="1">
      <c r="A103" s="128"/>
      <c r="B103" s="36" t="s">
        <v>171</v>
      </c>
      <c r="C103" s="3">
        <v>1</v>
      </c>
      <c r="D103" s="4">
        <f t="shared" si="3"/>
        <v>29</v>
      </c>
      <c r="E103" s="5">
        <v>45972</v>
      </c>
      <c r="F103" s="5">
        <v>46000</v>
      </c>
      <c r="G103" s="6" t="s">
        <v>134</v>
      </c>
      <c r="H103" s="1"/>
      <c r="I103" s="1"/>
      <c r="J103" s="1"/>
      <c r="K103" s="1"/>
      <c r="L103" s="1"/>
      <c r="M103" s="1"/>
      <c r="N103" s="1"/>
      <c r="O103" s="165" t="s">
        <v>73</v>
      </c>
      <c r="P103" s="165"/>
      <c r="Q103" s="15"/>
      <c r="R103" s="15"/>
      <c r="S103" s="10" t="s">
        <v>212</v>
      </c>
      <c r="T103" s="15"/>
      <c r="U103" s="15"/>
      <c r="V103" s="1"/>
      <c r="W103" s="1"/>
      <c r="X103" s="1"/>
      <c r="Y103" s="1"/>
      <c r="Z103" s="1"/>
      <c r="AA103" s="1"/>
      <c r="AB103" s="1"/>
      <c r="AC103" s="1"/>
      <c r="AD103" s="130" t="s">
        <v>74</v>
      </c>
      <c r="AE103" s="131"/>
      <c r="AF103" s="131"/>
      <c r="AG103" s="11"/>
      <c r="AH103" s="11"/>
      <c r="AI103" s="11"/>
      <c r="AJ103" s="11"/>
      <c r="AK103" s="11"/>
      <c r="AL103" s="11"/>
      <c r="AM103" s="11"/>
      <c r="AN103" s="10" t="s">
        <v>214</v>
      </c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0" t="s">
        <v>215</v>
      </c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32"/>
      <c r="BQ103" s="132"/>
      <c r="BR103" s="132"/>
      <c r="BS103" s="132"/>
      <c r="BT103" s="132"/>
      <c r="BU103" s="137"/>
    </row>
    <row r="104" spans="1:73" ht="17.25" customHeight="1" outlineLevel="1">
      <c r="A104" s="128"/>
      <c r="B104" s="108" t="s">
        <v>172</v>
      </c>
      <c r="C104" s="3">
        <v>1</v>
      </c>
      <c r="D104" s="4">
        <f t="shared" si="3"/>
        <v>11</v>
      </c>
      <c r="E104" s="5">
        <v>45972</v>
      </c>
      <c r="F104" s="5">
        <v>45982</v>
      </c>
      <c r="G104" s="6" t="s">
        <v>134</v>
      </c>
      <c r="H104" s="1"/>
      <c r="I104" s="1"/>
      <c r="J104" s="1"/>
      <c r="K104" s="1"/>
      <c r="L104" s="1"/>
      <c r="M104" s="1"/>
      <c r="N104" s="1"/>
      <c r="O104" s="165" t="s">
        <v>73</v>
      </c>
      <c r="P104" s="165"/>
      <c r="Q104" s="15"/>
      <c r="R104" s="15"/>
      <c r="S104" s="10" t="s">
        <v>212</v>
      </c>
      <c r="T104" s="15"/>
      <c r="U104" s="15"/>
      <c r="V104" s="1"/>
      <c r="W104" s="1"/>
      <c r="X104" s="1"/>
      <c r="Y104" s="1"/>
      <c r="Z104" s="1"/>
      <c r="AA104" s="1"/>
      <c r="AB104" s="1"/>
      <c r="AC104" s="1"/>
      <c r="AD104" s="130" t="s">
        <v>74</v>
      </c>
      <c r="AE104" s="131"/>
      <c r="AF104" s="131"/>
      <c r="AG104" s="11"/>
      <c r="AH104" s="11"/>
      <c r="AI104" s="11"/>
      <c r="AJ104" s="11"/>
      <c r="AK104" s="11"/>
      <c r="AL104" s="11"/>
      <c r="AM104" s="11"/>
      <c r="AN104" s="10" t="s">
        <v>214</v>
      </c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0" t="s">
        <v>215</v>
      </c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32"/>
      <c r="BQ104" s="131"/>
      <c r="BR104" s="131"/>
      <c r="BS104" s="131"/>
      <c r="BT104" s="131"/>
      <c r="BU104" s="133"/>
    </row>
    <row r="105" spans="1:73" ht="17.25" customHeight="1" outlineLevel="1">
      <c r="A105" s="128"/>
      <c r="B105" s="109" t="s">
        <v>173</v>
      </c>
      <c r="C105" s="3">
        <v>1</v>
      </c>
      <c r="D105" s="4">
        <f t="shared" ref="D105:D137" si="5">F105-E105+1</f>
        <v>4</v>
      </c>
      <c r="E105" s="5">
        <v>45997</v>
      </c>
      <c r="F105" s="5">
        <v>46000</v>
      </c>
      <c r="G105" s="6" t="s">
        <v>134</v>
      </c>
      <c r="H105" s="1"/>
      <c r="I105" s="1"/>
      <c r="J105" s="1"/>
      <c r="K105" s="1"/>
      <c r="L105" s="1"/>
      <c r="M105" s="1"/>
      <c r="N105" s="1"/>
      <c r="O105" s="165" t="s">
        <v>73</v>
      </c>
      <c r="P105" s="165"/>
      <c r="Q105" s="15"/>
      <c r="R105" s="15"/>
      <c r="S105" s="10" t="s">
        <v>212</v>
      </c>
      <c r="T105" s="15"/>
      <c r="U105" s="15"/>
      <c r="V105" s="1"/>
      <c r="W105" s="1"/>
      <c r="X105" s="1"/>
      <c r="Y105" s="1"/>
      <c r="Z105" s="1"/>
      <c r="AA105" s="1"/>
      <c r="AB105" s="1"/>
      <c r="AC105" s="1"/>
      <c r="AD105" s="170" t="s">
        <v>74</v>
      </c>
      <c r="AE105" s="171"/>
      <c r="AF105" s="171"/>
      <c r="AG105" s="11"/>
      <c r="AH105" s="11"/>
      <c r="AI105" s="11"/>
      <c r="AJ105" s="11"/>
      <c r="AK105" s="11"/>
      <c r="AL105" s="11"/>
      <c r="AM105" s="11"/>
      <c r="AN105" s="10" t="s">
        <v>214</v>
      </c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0" t="s">
        <v>215</v>
      </c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32"/>
      <c r="BQ105" s="131"/>
      <c r="BR105" s="131"/>
      <c r="BS105" s="131"/>
      <c r="BT105" s="131"/>
      <c r="BU105" s="133"/>
    </row>
    <row r="106" spans="1:73" ht="17.25" customHeight="1">
      <c r="A106" s="128"/>
      <c r="B106" s="36" t="s">
        <v>176</v>
      </c>
      <c r="C106" s="3">
        <v>1</v>
      </c>
      <c r="D106" s="4">
        <f t="shared" si="5"/>
        <v>23</v>
      </c>
      <c r="E106" s="5">
        <v>45972</v>
      </c>
      <c r="F106" s="5">
        <v>45994</v>
      </c>
      <c r="G106" s="6" t="s">
        <v>122</v>
      </c>
      <c r="H106" s="1"/>
      <c r="I106" s="1"/>
      <c r="J106" s="1"/>
      <c r="K106" s="1"/>
      <c r="L106" s="1"/>
      <c r="M106" s="1"/>
      <c r="N106" s="1"/>
      <c r="O106" s="165" t="s">
        <v>73</v>
      </c>
      <c r="P106" s="165"/>
      <c r="Q106" s="15"/>
      <c r="R106" s="15"/>
      <c r="S106" s="10" t="s">
        <v>212</v>
      </c>
      <c r="T106" s="15"/>
      <c r="U106" s="15"/>
      <c r="V106" s="1"/>
      <c r="W106" s="1"/>
      <c r="X106" s="1"/>
      <c r="Y106" s="1"/>
      <c r="Z106" s="1"/>
      <c r="AA106" s="1"/>
      <c r="AB106" s="1"/>
      <c r="AC106" s="1"/>
      <c r="AD106" s="130" t="s">
        <v>74</v>
      </c>
      <c r="AE106" s="131"/>
      <c r="AF106" s="131"/>
      <c r="AG106" s="11"/>
      <c r="AH106" s="11"/>
      <c r="AI106" s="11"/>
      <c r="AJ106" s="11"/>
      <c r="AK106" s="11"/>
      <c r="AL106" s="11"/>
      <c r="AM106" s="11"/>
      <c r="AN106" s="10" t="s">
        <v>214</v>
      </c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0" t="s">
        <v>215</v>
      </c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32"/>
      <c r="BQ106" s="131"/>
      <c r="BR106" s="131"/>
      <c r="BS106" s="131"/>
      <c r="BT106" s="131"/>
      <c r="BU106" s="133"/>
    </row>
    <row r="107" spans="1:73" ht="17.25" customHeight="1" outlineLevel="1">
      <c r="A107" s="128"/>
      <c r="B107" s="116" t="s">
        <v>174</v>
      </c>
      <c r="C107" s="3">
        <v>1</v>
      </c>
      <c r="D107" s="4">
        <f t="shared" si="5"/>
        <v>11</v>
      </c>
      <c r="E107" s="5">
        <v>45972</v>
      </c>
      <c r="F107" s="5">
        <v>45982</v>
      </c>
      <c r="G107" s="6" t="s">
        <v>122</v>
      </c>
      <c r="H107" s="1"/>
      <c r="I107" s="1"/>
      <c r="J107" s="1"/>
      <c r="K107" s="1"/>
      <c r="L107" s="1"/>
      <c r="M107" s="1"/>
      <c r="N107" s="1"/>
      <c r="O107" s="165" t="s">
        <v>73</v>
      </c>
      <c r="P107" s="165"/>
      <c r="Q107" s="15"/>
      <c r="R107" s="15"/>
      <c r="S107" s="10" t="s">
        <v>212</v>
      </c>
      <c r="T107" s="15"/>
      <c r="U107" s="15"/>
      <c r="V107" s="1"/>
      <c r="W107" s="1"/>
      <c r="X107" s="1"/>
      <c r="Y107" s="1"/>
      <c r="Z107" s="1"/>
      <c r="AA107" s="1"/>
      <c r="AB107" s="1"/>
      <c r="AC107" s="1"/>
      <c r="AD107" s="130" t="s">
        <v>74</v>
      </c>
      <c r="AE107" s="131"/>
      <c r="AF107" s="131"/>
      <c r="AG107" s="11"/>
      <c r="AH107" s="11"/>
      <c r="AI107" s="11"/>
      <c r="AJ107" s="11"/>
      <c r="AK107" s="11"/>
      <c r="AL107" s="11"/>
      <c r="AM107" s="11"/>
      <c r="AN107" s="10" t="s">
        <v>214</v>
      </c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0" t="s">
        <v>215</v>
      </c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32"/>
      <c r="BQ107" s="131"/>
      <c r="BR107" s="131"/>
      <c r="BS107" s="131"/>
      <c r="BT107" s="131"/>
      <c r="BU107" s="133"/>
    </row>
    <row r="108" spans="1:73" ht="17.25" customHeight="1" outlineLevel="1">
      <c r="A108" s="128"/>
      <c r="B108" s="116" t="s">
        <v>175</v>
      </c>
      <c r="C108" s="3">
        <v>1</v>
      </c>
      <c r="D108" s="4">
        <f t="shared" si="5"/>
        <v>3</v>
      </c>
      <c r="E108" s="5">
        <v>45992</v>
      </c>
      <c r="F108" s="5">
        <v>45994</v>
      </c>
      <c r="G108" s="6" t="s">
        <v>122</v>
      </c>
      <c r="H108" s="1"/>
      <c r="I108" s="1"/>
      <c r="J108" s="1"/>
      <c r="K108" s="1"/>
      <c r="L108" s="1"/>
      <c r="M108" s="1"/>
      <c r="N108" s="1"/>
      <c r="O108" s="165" t="s">
        <v>73</v>
      </c>
      <c r="P108" s="165"/>
      <c r="Q108" s="15"/>
      <c r="R108" s="15"/>
      <c r="S108" s="10" t="s">
        <v>212</v>
      </c>
      <c r="T108" s="15"/>
      <c r="U108" s="15"/>
      <c r="V108" s="1"/>
      <c r="W108" s="1"/>
      <c r="X108" s="1"/>
      <c r="Y108" s="1"/>
      <c r="Z108" s="1"/>
      <c r="AA108" s="1"/>
      <c r="AB108" s="1"/>
      <c r="AC108" s="1"/>
      <c r="AD108" s="170" t="s">
        <v>74</v>
      </c>
      <c r="AE108" s="171"/>
      <c r="AF108" s="171"/>
      <c r="AG108" s="11"/>
      <c r="AH108" s="11"/>
      <c r="AI108" s="11"/>
      <c r="AJ108" s="11"/>
      <c r="AK108" s="11"/>
      <c r="AL108" s="11"/>
      <c r="AM108" s="11"/>
      <c r="AN108" s="10" t="s">
        <v>214</v>
      </c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0" t="s">
        <v>215</v>
      </c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32"/>
      <c r="BQ108" s="132"/>
      <c r="BR108" s="132"/>
      <c r="BS108" s="132"/>
      <c r="BT108" s="132"/>
      <c r="BU108" s="137"/>
    </row>
    <row r="109" spans="1:73" ht="17.25" customHeight="1">
      <c r="A109" s="128"/>
      <c r="B109" s="39" t="s">
        <v>102</v>
      </c>
      <c r="C109" s="3">
        <v>1</v>
      </c>
      <c r="D109" s="4">
        <f t="shared" si="5"/>
        <v>18</v>
      </c>
      <c r="E109" s="5">
        <v>45972</v>
      </c>
      <c r="F109" s="5">
        <v>45989</v>
      </c>
      <c r="G109" s="6" t="s">
        <v>231</v>
      </c>
      <c r="H109" s="1"/>
      <c r="I109" s="1"/>
      <c r="J109" s="1"/>
      <c r="K109" s="1"/>
      <c r="L109" s="1"/>
      <c r="M109" s="1"/>
      <c r="N109" s="1"/>
      <c r="O109" s="165" t="s">
        <v>73</v>
      </c>
      <c r="P109" s="165"/>
      <c r="Q109" s="15"/>
      <c r="R109" s="15"/>
      <c r="S109" s="10" t="s">
        <v>212</v>
      </c>
      <c r="T109" s="15"/>
      <c r="U109" s="15"/>
      <c r="V109" s="1"/>
      <c r="W109" s="1"/>
      <c r="X109" s="1"/>
      <c r="Y109" s="1"/>
      <c r="Z109" s="1"/>
      <c r="AA109" s="1"/>
      <c r="AB109" s="1"/>
      <c r="AC109" s="1"/>
      <c r="AD109" s="130" t="s">
        <v>74</v>
      </c>
      <c r="AE109" s="131"/>
      <c r="AF109" s="131"/>
      <c r="AG109" s="11"/>
      <c r="AH109" s="11"/>
      <c r="AI109" s="11"/>
      <c r="AJ109" s="11"/>
      <c r="AK109" s="11"/>
      <c r="AL109" s="11"/>
      <c r="AM109" s="11"/>
      <c r="AN109" s="10" t="s">
        <v>214</v>
      </c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0" t="s">
        <v>215</v>
      </c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32"/>
      <c r="BQ109" s="131"/>
      <c r="BR109" s="131"/>
      <c r="BS109" s="131"/>
      <c r="BT109" s="131"/>
      <c r="BU109" s="133"/>
    </row>
    <row r="110" spans="1:73" ht="17.25" customHeight="1" outlineLevel="1">
      <c r="A110" s="128"/>
      <c r="B110" s="109" t="s">
        <v>177</v>
      </c>
      <c r="C110" s="3">
        <v>1</v>
      </c>
      <c r="D110" s="4">
        <f t="shared" si="5"/>
        <v>11</v>
      </c>
      <c r="E110" s="5">
        <v>45972</v>
      </c>
      <c r="F110" s="5">
        <v>45982</v>
      </c>
      <c r="G110" s="6" t="s">
        <v>231</v>
      </c>
      <c r="H110" s="1"/>
      <c r="I110" s="1"/>
      <c r="J110" s="1"/>
      <c r="K110" s="1"/>
      <c r="L110" s="1"/>
      <c r="M110" s="1"/>
      <c r="N110" s="1"/>
      <c r="O110" s="165" t="s">
        <v>73</v>
      </c>
      <c r="P110" s="165"/>
      <c r="Q110" s="15"/>
      <c r="R110" s="15"/>
      <c r="S110" s="10" t="s">
        <v>212</v>
      </c>
      <c r="T110" s="15"/>
      <c r="U110" s="15"/>
      <c r="V110" s="1"/>
      <c r="W110" s="1"/>
      <c r="X110" s="1"/>
      <c r="Y110" s="1"/>
      <c r="Z110" s="1"/>
      <c r="AA110" s="1"/>
      <c r="AB110" s="1"/>
      <c r="AC110" s="1"/>
      <c r="AD110" s="130" t="s">
        <v>74</v>
      </c>
      <c r="AE110" s="131"/>
      <c r="AF110" s="131"/>
      <c r="AG110" s="11"/>
      <c r="AH110" s="11"/>
      <c r="AI110" s="11"/>
      <c r="AJ110" s="11"/>
      <c r="AK110" s="11"/>
      <c r="AL110" s="11"/>
      <c r="AM110" s="11"/>
      <c r="AN110" s="10" t="s">
        <v>214</v>
      </c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0" t="s">
        <v>215</v>
      </c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32"/>
      <c r="BQ110" s="131"/>
      <c r="BR110" s="131"/>
      <c r="BS110" s="131"/>
      <c r="BT110" s="131"/>
      <c r="BU110" s="133"/>
    </row>
    <row r="111" spans="1:73" ht="17.25" customHeight="1" outlineLevel="1">
      <c r="A111" s="128"/>
      <c r="B111" s="106" t="s">
        <v>178</v>
      </c>
      <c r="C111" s="3">
        <v>1</v>
      </c>
      <c r="D111" s="4">
        <f t="shared" si="5"/>
        <v>5</v>
      </c>
      <c r="E111" s="5">
        <v>45985</v>
      </c>
      <c r="F111" s="5">
        <v>45989</v>
      </c>
      <c r="G111" s="6" t="s">
        <v>231</v>
      </c>
      <c r="H111" s="1"/>
      <c r="I111" s="1"/>
      <c r="J111" s="1"/>
      <c r="K111" s="1"/>
      <c r="L111" s="1"/>
      <c r="M111" s="1"/>
      <c r="N111" s="1"/>
      <c r="O111" s="165" t="s">
        <v>73</v>
      </c>
      <c r="P111" s="165"/>
      <c r="Q111" s="15"/>
      <c r="R111" s="15"/>
      <c r="S111" s="10" t="s">
        <v>212</v>
      </c>
      <c r="T111" s="15"/>
      <c r="U111" s="15"/>
      <c r="V111" s="1"/>
      <c r="W111" s="1"/>
      <c r="X111" s="1"/>
      <c r="Y111" s="1"/>
      <c r="Z111" s="1"/>
      <c r="AA111" s="1"/>
      <c r="AB111" s="1"/>
      <c r="AC111" s="1"/>
      <c r="AD111" s="170" t="s">
        <v>74</v>
      </c>
      <c r="AE111" s="171"/>
      <c r="AF111" s="171"/>
      <c r="AG111" s="11"/>
      <c r="AH111" s="11"/>
      <c r="AI111" s="11"/>
      <c r="AJ111" s="11"/>
      <c r="AK111" s="11"/>
      <c r="AL111" s="11"/>
      <c r="AM111" s="11"/>
      <c r="AN111" s="10" t="s">
        <v>214</v>
      </c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0" t="s">
        <v>215</v>
      </c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32"/>
      <c r="BQ111" s="131"/>
      <c r="BR111" s="131"/>
      <c r="BS111" s="131"/>
      <c r="BT111" s="131"/>
      <c r="BU111" s="133"/>
    </row>
    <row r="112" spans="1:73" ht="17.25" customHeight="1">
      <c r="A112" s="128"/>
      <c r="B112" s="24" t="s">
        <v>103</v>
      </c>
      <c r="C112" s="3">
        <v>1</v>
      </c>
      <c r="D112" s="4">
        <f t="shared" si="5"/>
        <v>8</v>
      </c>
      <c r="E112" s="5">
        <v>45972</v>
      </c>
      <c r="F112" s="5">
        <v>45979</v>
      </c>
      <c r="G112" s="6" t="s">
        <v>129</v>
      </c>
      <c r="H112" s="1"/>
      <c r="I112" s="1"/>
      <c r="J112" s="1"/>
      <c r="K112" s="1"/>
      <c r="L112" s="1"/>
      <c r="M112" s="1"/>
      <c r="N112" s="1"/>
      <c r="O112" s="165" t="s">
        <v>73</v>
      </c>
      <c r="P112" s="165"/>
      <c r="Q112" s="1"/>
      <c r="R112" s="1"/>
      <c r="S112" s="10" t="s">
        <v>212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30" t="s">
        <v>74</v>
      </c>
      <c r="AE112" s="131"/>
      <c r="AF112" s="131"/>
      <c r="AG112" s="11"/>
      <c r="AH112" s="11"/>
      <c r="AI112" s="11"/>
      <c r="AJ112" s="11"/>
      <c r="AK112" s="11"/>
      <c r="AL112" s="11"/>
      <c r="AM112" s="11"/>
      <c r="AN112" s="10" t="s">
        <v>214</v>
      </c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0" t="s">
        <v>215</v>
      </c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32"/>
      <c r="BQ112" s="131"/>
      <c r="BR112" s="131"/>
      <c r="BS112" s="131"/>
      <c r="BT112" s="131"/>
      <c r="BU112" s="133"/>
    </row>
    <row r="113" spans="1:73" ht="17.25" customHeight="1" outlineLevel="1">
      <c r="A113" s="128"/>
      <c r="B113" s="106" t="s">
        <v>218</v>
      </c>
      <c r="C113" s="3">
        <v>1</v>
      </c>
      <c r="D113" s="4">
        <f t="shared" si="5"/>
        <v>8</v>
      </c>
      <c r="E113" s="5">
        <v>45972</v>
      </c>
      <c r="F113" s="5">
        <v>45979</v>
      </c>
      <c r="G113" s="6" t="s">
        <v>129</v>
      </c>
      <c r="H113" s="1"/>
      <c r="I113" s="1"/>
      <c r="J113" s="1"/>
      <c r="K113" s="1"/>
      <c r="L113" s="1"/>
      <c r="M113" s="1"/>
      <c r="N113" s="1"/>
      <c r="O113" s="165" t="s">
        <v>73</v>
      </c>
      <c r="P113" s="165"/>
      <c r="Q113" s="1"/>
      <c r="R113" s="1"/>
      <c r="S113" s="10" t="s">
        <v>212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30" t="s">
        <v>74</v>
      </c>
      <c r="AE113" s="131"/>
      <c r="AF113" s="131"/>
      <c r="AG113" s="11"/>
      <c r="AH113" s="11"/>
      <c r="AI113" s="11"/>
      <c r="AJ113" s="11"/>
      <c r="AK113" s="11"/>
      <c r="AL113" s="11"/>
      <c r="AM113" s="11"/>
      <c r="AN113" s="10" t="s">
        <v>214</v>
      </c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0" t="s">
        <v>215</v>
      </c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32"/>
      <c r="BQ113" s="131"/>
      <c r="BR113" s="131"/>
      <c r="BS113" s="131"/>
      <c r="BT113" s="131"/>
      <c r="BU113" s="133"/>
    </row>
    <row r="114" spans="1:73" ht="17.25" customHeight="1" outlineLevel="1" thickBot="1">
      <c r="A114" s="129"/>
      <c r="B114" s="119" t="s">
        <v>179</v>
      </c>
      <c r="C114" s="64">
        <v>1</v>
      </c>
      <c r="D114" s="65">
        <f t="shared" si="5"/>
        <v>2</v>
      </c>
      <c r="E114" s="66">
        <v>45988</v>
      </c>
      <c r="F114" s="66">
        <v>45989</v>
      </c>
      <c r="G114" s="67" t="s">
        <v>180</v>
      </c>
      <c r="H114" s="70"/>
      <c r="I114" s="70"/>
      <c r="J114" s="70"/>
      <c r="K114" s="70"/>
      <c r="L114" s="70"/>
      <c r="M114" s="70"/>
      <c r="N114" s="70"/>
      <c r="O114" s="166" t="s">
        <v>73</v>
      </c>
      <c r="P114" s="166"/>
      <c r="Q114" s="70"/>
      <c r="R114" s="70"/>
      <c r="S114" s="72" t="s">
        <v>212</v>
      </c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172" t="s">
        <v>74</v>
      </c>
      <c r="AE114" s="173"/>
      <c r="AF114" s="173"/>
      <c r="AG114" s="73"/>
      <c r="AH114" s="73"/>
      <c r="AI114" s="73"/>
      <c r="AJ114" s="73"/>
      <c r="AK114" s="73"/>
      <c r="AL114" s="73"/>
      <c r="AM114" s="73"/>
      <c r="AN114" s="72" t="s">
        <v>214</v>
      </c>
      <c r="AO114" s="73"/>
      <c r="AP114" s="73"/>
      <c r="AQ114" s="73"/>
      <c r="AR114" s="73"/>
      <c r="AS114" s="73"/>
      <c r="AT114" s="73"/>
      <c r="AU114" s="73"/>
      <c r="AV114" s="73"/>
      <c r="AW114" s="73"/>
      <c r="AX114" s="73"/>
      <c r="AY114" s="73"/>
      <c r="AZ114" s="73"/>
      <c r="BA114" s="73"/>
      <c r="BB114" s="72" t="s">
        <v>215</v>
      </c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148"/>
      <c r="BQ114" s="141"/>
      <c r="BR114" s="141"/>
      <c r="BS114" s="141"/>
      <c r="BT114" s="141"/>
      <c r="BU114" s="142"/>
    </row>
    <row r="115" spans="1:73" ht="17.25" customHeight="1">
      <c r="A115" s="134" t="s">
        <v>112</v>
      </c>
      <c r="B115" s="81" t="s">
        <v>155</v>
      </c>
      <c r="C115" s="53">
        <v>1</v>
      </c>
      <c r="D115" s="54">
        <f>F115-E115+1</f>
        <v>26</v>
      </c>
      <c r="E115" s="55">
        <f>MIN(E116:E120)</f>
        <v>45978</v>
      </c>
      <c r="F115" s="55">
        <f>MAX(F116:F120)</f>
        <v>46003</v>
      </c>
      <c r="G115" s="82" t="s">
        <v>197</v>
      </c>
      <c r="H115" s="60"/>
      <c r="I115" s="60"/>
      <c r="J115" s="60"/>
      <c r="K115" s="60"/>
      <c r="L115" s="60"/>
      <c r="M115" s="60"/>
      <c r="N115" s="60"/>
      <c r="O115" s="167" t="s">
        <v>73</v>
      </c>
      <c r="P115" s="167"/>
      <c r="Q115" s="60"/>
      <c r="R115" s="60"/>
      <c r="S115" s="61" t="s">
        <v>212</v>
      </c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169" t="s">
        <v>74</v>
      </c>
      <c r="AE115" s="174"/>
      <c r="AF115" s="174"/>
      <c r="AG115" s="62"/>
      <c r="AH115" s="62"/>
      <c r="AI115" s="62"/>
      <c r="AJ115" s="62"/>
      <c r="AK115" s="62"/>
      <c r="AL115" s="62"/>
      <c r="AM115" s="62"/>
      <c r="AN115" s="61" t="s">
        <v>214</v>
      </c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1" t="s">
        <v>215</v>
      </c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143"/>
      <c r="BQ115" s="146"/>
      <c r="BR115" s="146"/>
      <c r="BS115" s="146"/>
      <c r="BT115" s="146"/>
      <c r="BU115" s="147"/>
    </row>
    <row r="116" spans="1:73" ht="18" customHeight="1" outlineLevel="1">
      <c r="A116" s="135"/>
      <c r="B116" s="41" t="s">
        <v>156</v>
      </c>
      <c r="C116" s="3">
        <v>1</v>
      </c>
      <c r="D116" s="4">
        <f>F116-E116+1</f>
        <v>19</v>
      </c>
      <c r="E116" s="5">
        <v>45978</v>
      </c>
      <c r="F116" s="5">
        <v>45996</v>
      </c>
      <c r="G116" s="27" t="s">
        <v>197</v>
      </c>
      <c r="H116" s="1"/>
      <c r="I116" s="1"/>
      <c r="J116" s="1"/>
      <c r="K116" s="1"/>
      <c r="L116" s="1"/>
      <c r="M116" s="1"/>
      <c r="N116" s="1"/>
      <c r="O116" s="165" t="s">
        <v>73</v>
      </c>
      <c r="P116" s="165"/>
      <c r="Q116" s="1"/>
      <c r="R116" s="1"/>
      <c r="S116" s="10" t="s">
        <v>212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70" t="s">
        <v>74</v>
      </c>
      <c r="AE116" s="171"/>
      <c r="AF116" s="171"/>
      <c r="AG116" s="11"/>
      <c r="AH116" s="11"/>
      <c r="AI116" s="11"/>
      <c r="AJ116" s="11"/>
      <c r="AK116" s="11"/>
      <c r="AL116" s="11"/>
      <c r="AM116" s="11"/>
      <c r="AN116" s="10" t="s">
        <v>214</v>
      </c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0" t="s">
        <v>215</v>
      </c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32"/>
      <c r="BQ116" s="131"/>
      <c r="BR116" s="131"/>
      <c r="BS116" s="131"/>
      <c r="BT116" s="131"/>
      <c r="BU116" s="133"/>
    </row>
    <row r="117" spans="1:73" ht="17.25" customHeight="1" outlineLevel="1">
      <c r="A117" s="135"/>
      <c r="B117" s="41" t="s">
        <v>104</v>
      </c>
      <c r="C117" s="3">
        <v>1</v>
      </c>
      <c r="D117" s="4">
        <f t="shared" si="5"/>
        <v>10</v>
      </c>
      <c r="E117" s="5">
        <v>45987</v>
      </c>
      <c r="F117" s="5">
        <v>45996</v>
      </c>
      <c r="G117" s="27" t="s">
        <v>197</v>
      </c>
      <c r="H117" s="1"/>
      <c r="I117" s="1"/>
      <c r="J117" s="1"/>
      <c r="K117" s="1"/>
      <c r="L117" s="1"/>
      <c r="M117" s="1"/>
      <c r="N117" s="1"/>
      <c r="O117" s="165" t="s">
        <v>73</v>
      </c>
      <c r="P117" s="165"/>
      <c r="Q117" s="1"/>
      <c r="R117" s="1"/>
      <c r="S117" s="10" t="s">
        <v>212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70" t="s">
        <v>74</v>
      </c>
      <c r="AE117" s="171"/>
      <c r="AF117" s="171"/>
      <c r="AG117" s="11"/>
      <c r="AH117" s="11"/>
      <c r="AI117" s="11"/>
      <c r="AJ117" s="11"/>
      <c r="AK117" s="11"/>
      <c r="AL117" s="11"/>
      <c r="AM117" s="11"/>
      <c r="AN117" s="10" t="s">
        <v>214</v>
      </c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0" t="s">
        <v>215</v>
      </c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32"/>
      <c r="BQ117" s="131"/>
      <c r="BR117" s="131"/>
      <c r="BS117" s="131"/>
      <c r="BT117" s="131"/>
      <c r="BU117" s="133"/>
    </row>
    <row r="118" spans="1:73" ht="17.25" customHeight="1" outlineLevel="1">
      <c r="A118" s="135"/>
      <c r="B118" s="41" t="s">
        <v>105</v>
      </c>
      <c r="C118" s="3">
        <v>1</v>
      </c>
      <c r="D118" s="4">
        <f t="shared" si="5"/>
        <v>9</v>
      </c>
      <c r="E118" s="5">
        <v>45989</v>
      </c>
      <c r="F118" s="5">
        <v>45997</v>
      </c>
      <c r="G118" s="27" t="s">
        <v>197</v>
      </c>
      <c r="H118" s="1"/>
      <c r="I118" s="1"/>
      <c r="J118" s="1"/>
      <c r="K118" s="1"/>
      <c r="L118" s="1"/>
      <c r="M118" s="1"/>
      <c r="N118" s="1"/>
      <c r="O118" s="165" t="s">
        <v>73</v>
      </c>
      <c r="P118" s="165"/>
      <c r="Q118" s="1"/>
      <c r="R118" s="1"/>
      <c r="S118" s="10" t="s">
        <v>212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70" t="s">
        <v>74</v>
      </c>
      <c r="AE118" s="171"/>
      <c r="AF118" s="171"/>
      <c r="AG118" s="11"/>
      <c r="AH118" s="11"/>
      <c r="AI118" s="11"/>
      <c r="AJ118" s="11"/>
      <c r="AK118" s="11"/>
      <c r="AL118" s="11"/>
      <c r="AM118" s="11"/>
      <c r="AN118" s="10" t="s">
        <v>214</v>
      </c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0" t="s">
        <v>215</v>
      </c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32"/>
      <c r="BQ118" s="131"/>
      <c r="BR118" s="131"/>
      <c r="BS118" s="131"/>
      <c r="BT118" s="131"/>
      <c r="BU118" s="133"/>
    </row>
    <row r="119" spans="1:73" ht="17.25" customHeight="1" outlineLevel="1">
      <c r="A119" s="135"/>
      <c r="B119" s="41" t="s">
        <v>181</v>
      </c>
      <c r="C119" s="3">
        <v>1</v>
      </c>
      <c r="D119" s="4">
        <f t="shared" si="5"/>
        <v>5</v>
      </c>
      <c r="E119" s="5">
        <v>45992</v>
      </c>
      <c r="F119" s="5">
        <v>45996</v>
      </c>
      <c r="G119" s="6" t="s">
        <v>153</v>
      </c>
      <c r="H119" s="1"/>
      <c r="I119" s="1"/>
      <c r="J119" s="1"/>
      <c r="K119" s="1"/>
      <c r="L119" s="1"/>
      <c r="M119" s="1"/>
      <c r="N119" s="1"/>
      <c r="O119" s="165" t="s">
        <v>73</v>
      </c>
      <c r="P119" s="165"/>
      <c r="Q119" s="1"/>
      <c r="R119" s="1"/>
      <c r="S119" s="10" t="s">
        <v>212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70" t="s">
        <v>74</v>
      </c>
      <c r="AE119" s="171"/>
      <c r="AF119" s="171"/>
      <c r="AG119" s="11"/>
      <c r="AH119" s="11"/>
      <c r="AI119" s="11"/>
      <c r="AJ119" s="11"/>
      <c r="AK119" s="11"/>
      <c r="AL119" s="11"/>
      <c r="AM119" s="11"/>
      <c r="AN119" s="10" t="s">
        <v>214</v>
      </c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0" t="s">
        <v>215</v>
      </c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32"/>
      <c r="BQ119" s="131"/>
      <c r="BR119" s="131"/>
      <c r="BS119" s="131"/>
      <c r="BT119" s="131"/>
      <c r="BU119" s="133"/>
    </row>
    <row r="120" spans="1:73" ht="17.25" customHeight="1" outlineLevel="1">
      <c r="A120" s="135"/>
      <c r="B120" s="41" t="s">
        <v>106</v>
      </c>
      <c r="C120" s="3">
        <v>1</v>
      </c>
      <c r="D120" s="4">
        <f t="shared" si="5"/>
        <v>12</v>
      </c>
      <c r="E120" s="5">
        <v>45992</v>
      </c>
      <c r="F120" s="5">
        <v>46003</v>
      </c>
      <c r="G120" s="6" t="s">
        <v>128</v>
      </c>
      <c r="H120" s="1"/>
      <c r="I120" s="1"/>
      <c r="J120" s="1"/>
      <c r="K120" s="1"/>
      <c r="L120" s="1"/>
      <c r="M120" s="1"/>
      <c r="N120" s="1"/>
      <c r="O120" s="165" t="s">
        <v>73</v>
      </c>
      <c r="P120" s="165"/>
      <c r="Q120" s="1"/>
      <c r="R120" s="1"/>
      <c r="S120" s="10" t="s">
        <v>212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70" t="s">
        <v>74</v>
      </c>
      <c r="AE120" s="171"/>
      <c r="AF120" s="171"/>
      <c r="AG120" s="11"/>
      <c r="AH120" s="11"/>
      <c r="AI120" s="11"/>
      <c r="AJ120" s="11"/>
      <c r="AK120" s="11"/>
      <c r="AL120" s="11"/>
      <c r="AM120" s="11"/>
      <c r="AN120" s="10" t="s">
        <v>214</v>
      </c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0" t="s">
        <v>215</v>
      </c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32"/>
      <c r="BQ120" s="131"/>
      <c r="BR120" s="131"/>
      <c r="BS120" s="131"/>
      <c r="BT120" s="131"/>
      <c r="BU120" s="133"/>
    </row>
    <row r="121" spans="1:73" ht="17.25" customHeight="1">
      <c r="A121" s="135"/>
      <c r="B121" s="40" t="s">
        <v>107</v>
      </c>
      <c r="C121" s="3">
        <v>1</v>
      </c>
      <c r="D121" s="4">
        <f t="shared" si="5"/>
        <v>12</v>
      </c>
      <c r="E121" s="5">
        <f>MIN(E122:E126)</f>
        <v>45992</v>
      </c>
      <c r="F121" s="5">
        <f>MAX(F122:F126)</f>
        <v>46003</v>
      </c>
      <c r="G121" s="6" t="s">
        <v>189</v>
      </c>
      <c r="H121" s="1"/>
      <c r="I121" s="1"/>
      <c r="J121" s="1"/>
      <c r="K121" s="1"/>
      <c r="L121" s="1"/>
      <c r="M121" s="1"/>
      <c r="N121" s="1"/>
      <c r="O121" s="165" t="s">
        <v>73</v>
      </c>
      <c r="P121" s="165"/>
      <c r="Q121" s="1"/>
      <c r="R121" s="1"/>
      <c r="S121" s="10" t="s">
        <v>212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70" t="s">
        <v>74</v>
      </c>
      <c r="AE121" s="171"/>
      <c r="AF121" s="171"/>
      <c r="AG121" s="11"/>
      <c r="AH121" s="11"/>
      <c r="AI121" s="11"/>
      <c r="AJ121" s="11"/>
      <c r="AK121" s="11"/>
      <c r="AL121" s="11"/>
      <c r="AM121" s="11"/>
      <c r="AN121" s="10" t="s">
        <v>214</v>
      </c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0" t="s">
        <v>215</v>
      </c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32"/>
      <c r="BQ121" s="131"/>
      <c r="BR121" s="131"/>
      <c r="BS121" s="131"/>
      <c r="BT121" s="131"/>
      <c r="BU121" s="133"/>
    </row>
    <row r="122" spans="1:73" ht="17.25" customHeight="1" outlineLevel="1">
      <c r="A122" s="135"/>
      <c r="B122" s="41" t="s">
        <v>160</v>
      </c>
      <c r="C122" s="3">
        <v>1</v>
      </c>
      <c r="D122" s="4">
        <f t="shared" si="5"/>
        <v>12</v>
      </c>
      <c r="E122" s="5">
        <v>45992</v>
      </c>
      <c r="F122" s="5">
        <v>46003</v>
      </c>
      <c r="G122" s="6" t="s">
        <v>189</v>
      </c>
      <c r="H122" s="1"/>
      <c r="I122" s="1"/>
      <c r="J122" s="1"/>
      <c r="K122" s="1"/>
      <c r="L122" s="1"/>
      <c r="M122" s="1"/>
      <c r="N122" s="1"/>
      <c r="O122" s="165" t="s">
        <v>73</v>
      </c>
      <c r="P122" s="165"/>
      <c r="Q122" s="1"/>
      <c r="R122" s="1"/>
      <c r="S122" s="10" t="s">
        <v>212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70" t="s">
        <v>74</v>
      </c>
      <c r="AE122" s="171"/>
      <c r="AF122" s="171"/>
      <c r="AG122" s="11"/>
      <c r="AH122" s="11"/>
      <c r="AI122" s="11"/>
      <c r="AJ122" s="11"/>
      <c r="AK122" s="11"/>
      <c r="AL122" s="11"/>
      <c r="AM122" s="11"/>
      <c r="AN122" s="10" t="s">
        <v>214</v>
      </c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0" t="s">
        <v>215</v>
      </c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32"/>
      <c r="BQ122" s="131"/>
      <c r="BR122" s="131"/>
      <c r="BS122" s="131"/>
      <c r="BT122" s="131"/>
      <c r="BU122" s="133"/>
    </row>
    <row r="123" spans="1:73" ht="17.25" customHeight="1" outlineLevel="1">
      <c r="A123" s="135"/>
      <c r="B123" s="41" t="s">
        <v>158</v>
      </c>
      <c r="C123" s="3">
        <v>1</v>
      </c>
      <c r="D123" s="4">
        <f t="shared" si="5"/>
        <v>12</v>
      </c>
      <c r="E123" s="5">
        <v>45992</v>
      </c>
      <c r="F123" s="5">
        <v>46003</v>
      </c>
      <c r="G123" s="6" t="s">
        <v>134</v>
      </c>
      <c r="H123" s="1"/>
      <c r="I123" s="1"/>
      <c r="J123" s="1"/>
      <c r="K123" s="1"/>
      <c r="L123" s="1"/>
      <c r="M123" s="1"/>
      <c r="N123" s="1"/>
      <c r="O123" s="165" t="s">
        <v>73</v>
      </c>
      <c r="P123" s="165"/>
      <c r="Q123" s="1"/>
      <c r="R123" s="1"/>
      <c r="S123" s="10" t="s">
        <v>212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70" t="s">
        <v>74</v>
      </c>
      <c r="AE123" s="171"/>
      <c r="AF123" s="171"/>
      <c r="AG123" s="11"/>
      <c r="AH123" s="11"/>
      <c r="AI123" s="11"/>
      <c r="AJ123" s="11"/>
      <c r="AK123" s="11"/>
      <c r="AL123" s="11"/>
      <c r="AM123" s="11"/>
      <c r="AN123" s="10" t="s">
        <v>214</v>
      </c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0" t="s">
        <v>215</v>
      </c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32"/>
      <c r="BQ123" s="131"/>
      <c r="BR123" s="131"/>
      <c r="BS123" s="131"/>
      <c r="BT123" s="131"/>
      <c r="BU123" s="133"/>
    </row>
    <row r="124" spans="1:73" ht="17.25" customHeight="1" outlineLevel="1">
      <c r="A124" s="135"/>
      <c r="B124" s="41" t="s">
        <v>157</v>
      </c>
      <c r="C124" s="3">
        <v>1</v>
      </c>
      <c r="D124" s="4">
        <f t="shared" si="5"/>
        <v>12</v>
      </c>
      <c r="E124" s="5">
        <v>45992</v>
      </c>
      <c r="F124" s="5">
        <v>46003</v>
      </c>
      <c r="G124" s="6" t="s">
        <v>189</v>
      </c>
      <c r="H124" s="1"/>
      <c r="I124" s="1"/>
      <c r="J124" s="1"/>
      <c r="K124" s="1"/>
      <c r="L124" s="1"/>
      <c r="M124" s="1"/>
      <c r="N124" s="1"/>
      <c r="O124" s="165" t="s">
        <v>73</v>
      </c>
      <c r="P124" s="165"/>
      <c r="Q124" s="1"/>
      <c r="R124" s="1"/>
      <c r="S124" s="10" t="s">
        <v>212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70" t="s">
        <v>74</v>
      </c>
      <c r="AE124" s="171"/>
      <c r="AF124" s="171"/>
      <c r="AG124" s="11"/>
      <c r="AH124" s="11"/>
      <c r="AI124" s="11"/>
      <c r="AJ124" s="11"/>
      <c r="AK124" s="11"/>
      <c r="AL124" s="11"/>
      <c r="AM124" s="11"/>
      <c r="AN124" s="10" t="s">
        <v>214</v>
      </c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0" t="s">
        <v>215</v>
      </c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32"/>
      <c r="BQ124" s="131"/>
      <c r="BR124" s="131"/>
      <c r="BS124" s="131"/>
      <c r="BT124" s="131"/>
      <c r="BU124" s="133"/>
    </row>
    <row r="125" spans="1:73" ht="17.25" customHeight="1" outlineLevel="1">
      <c r="A125" s="135"/>
      <c r="B125" s="41" t="s">
        <v>159</v>
      </c>
      <c r="C125" s="3">
        <v>1</v>
      </c>
      <c r="D125" s="4">
        <f t="shared" si="5"/>
        <v>5</v>
      </c>
      <c r="E125" s="42">
        <v>45999</v>
      </c>
      <c r="F125" s="42">
        <v>46003</v>
      </c>
      <c r="G125" s="27" t="s">
        <v>197</v>
      </c>
      <c r="H125" s="1"/>
      <c r="I125" s="1"/>
      <c r="J125" s="1"/>
      <c r="K125" s="1"/>
      <c r="L125" s="1"/>
      <c r="M125" s="1"/>
      <c r="N125" s="1"/>
      <c r="O125" s="165" t="s">
        <v>73</v>
      </c>
      <c r="P125" s="165"/>
      <c r="Q125" s="1"/>
      <c r="R125" s="1"/>
      <c r="S125" s="10" t="s">
        <v>212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70" t="s">
        <v>74</v>
      </c>
      <c r="AE125" s="171"/>
      <c r="AF125" s="171"/>
      <c r="AG125" s="11"/>
      <c r="AH125" s="11"/>
      <c r="AI125" s="11"/>
      <c r="AJ125" s="11"/>
      <c r="AK125" s="11"/>
      <c r="AL125" s="11"/>
      <c r="AM125" s="11"/>
      <c r="AN125" s="10" t="s">
        <v>214</v>
      </c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0" t="s">
        <v>215</v>
      </c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32"/>
      <c r="BQ125" s="132"/>
      <c r="BR125" s="132"/>
      <c r="BS125" s="132"/>
      <c r="BT125" s="132"/>
      <c r="BU125" s="137"/>
    </row>
    <row r="126" spans="1:73" ht="17.25" customHeight="1" outlineLevel="1">
      <c r="A126" s="135"/>
      <c r="B126" s="41" t="s">
        <v>190</v>
      </c>
      <c r="C126" s="3">
        <v>1</v>
      </c>
      <c r="D126" s="4">
        <f t="shared" si="5"/>
        <v>12</v>
      </c>
      <c r="E126" s="42">
        <v>45992</v>
      </c>
      <c r="F126" s="42">
        <v>46003</v>
      </c>
      <c r="G126" s="6" t="s">
        <v>147</v>
      </c>
      <c r="H126" s="1"/>
      <c r="I126" s="1"/>
      <c r="J126" s="1"/>
      <c r="K126" s="1"/>
      <c r="L126" s="1"/>
      <c r="M126" s="1"/>
      <c r="N126" s="1"/>
      <c r="O126" s="165" t="s">
        <v>73</v>
      </c>
      <c r="P126" s="165"/>
      <c r="Q126" s="1"/>
      <c r="R126" s="1"/>
      <c r="S126" s="10" t="s">
        <v>212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70" t="s">
        <v>74</v>
      </c>
      <c r="AE126" s="171"/>
      <c r="AF126" s="171"/>
      <c r="AG126" s="11"/>
      <c r="AH126" s="11"/>
      <c r="AI126" s="11"/>
      <c r="AJ126" s="11"/>
      <c r="AK126" s="11"/>
      <c r="AL126" s="11"/>
      <c r="AM126" s="11"/>
      <c r="AN126" s="10" t="s">
        <v>214</v>
      </c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0" t="s">
        <v>215</v>
      </c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32"/>
      <c r="BQ126" s="132"/>
      <c r="BR126" s="132"/>
      <c r="BS126" s="132"/>
      <c r="BT126" s="132"/>
      <c r="BU126" s="137"/>
    </row>
    <row r="127" spans="1:73" ht="17.25" customHeight="1" thickBot="1">
      <c r="A127" s="136"/>
      <c r="B127" s="83" t="s">
        <v>192</v>
      </c>
      <c r="C127" s="64">
        <v>1</v>
      </c>
      <c r="D127" s="65">
        <f t="shared" si="5"/>
        <v>5</v>
      </c>
      <c r="E127" s="66">
        <v>45992</v>
      </c>
      <c r="F127" s="66">
        <v>45996</v>
      </c>
      <c r="G127" s="84" t="s">
        <v>197</v>
      </c>
      <c r="H127" s="70"/>
      <c r="I127" s="70"/>
      <c r="J127" s="70"/>
      <c r="K127" s="70"/>
      <c r="L127" s="70"/>
      <c r="M127" s="70"/>
      <c r="N127" s="70"/>
      <c r="O127" s="166" t="s">
        <v>73</v>
      </c>
      <c r="P127" s="166"/>
      <c r="Q127" s="70"/>
      <c r="R127" s="70"/>
      <c r="S127" s="72" t="s">
        <v>212</v>
      </c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172" t="s">
        <v>74</v>
      </c>
      <c r="AE127" s="173"/>
      <c r="AF127" s="173"/>
      <c r="AG127" s="73"/>
      <c r="AH127" s="73"/>
      <c r="AI127" s="73"/>
      <c r="AJ127" s="73"/>
      <c r="AK127" s="73"/>
      <c r="AL127" s="73"/>
      <c r="AM127" s="73"/>
      <c r="AN127" s="72" t="s">
        <v>214</v>
      </c>
      <c r="AO127" s="73"/>
      <c r="AP127" s="73"/>
      <c r="AQ127" s="73"/>
      <c r="AR127" s="73"/>
      <c r="AS127" s="73"/>
      <c r="AT127" s="73"/>
      <c r="AU127" s="73"/>
      <c r="AV127" s="73"/>
      <c r="AW127" s="73"/>
      <c r="AX127" s="73"/>
      <c r="AY127" s="73"/>
      <c r="AZ127" s="73"/>
      <c r="BA127" s="73"/>
      <c r="BB127" s="72" t="s">
        <v>215</v>
      </c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148"/>
      <c r="BQ127" s="141"/>
      <c r="BR127" s="141"/>
      <c r="BS127" s="141"/>
      <c r="BT127" s="141"/>
      <c r="BU127" s="142"/>
    </row>
    <row r="128" spans="1:73" ht="17.25" customHeight="1">
      <c r="A128" s="127" t="s">
        <v>113</v>
      </c>
      <c r="B128" s="123" t="s">
        <v>193</v>
      </c>
      <c r="C128" s="53">
        <v>1</v>
      </c>
      <c r="D128" s="54">
        <f t="shared" si="5"/>
        <v>11</v>
      </c>
      <c r="E128" s="85">
        <f>MIN(E129:E132)</f>
        <v>45992</v>
      </c>
      <c r="F128" s="85">
        <f>MAX(F129:F132)</f>
        <v>46002</v>
      </c>
      <c r="G128" s="56" t="s">
        <v>128</v>
      </c>
      <c r="H128" s="60"/>
      <c r="I128" s="60"/>
      <c r="J128" s="60"/>
      <c r="K128" s="60"/>
      <c r="L128" s="60"/>
      <c r="M128" s="60"/>
      <c r="N128" s="60"/>
      <c r="O128" s="167" t="s">
        <v>73</v>
      </c>
      <c r="P128" s="167"/>
      <c r="Q128" s="60"/>
      <c r="R128" s="60"/>
      <c r="S128" s="61" t="s">
        <v>212</v>
      </c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169" t="s">
        <v>74</v>
      </c>
      <c r="AE128" s="174"/>
      <c r="AF128" s="174"/>
      <c r="AG128" s="62"/>
      <c r="AH128" s="62"/>
      <c r="AI128" s="62"/>
      <c r="AJ128" s="62"/>
      <c r="AK128" s="62"/>
      <c r="AL128" s="62"/>
      <c r="AM128" s="62"/>
      <c r="AN128" s="61" t="s">
        <v>214</v>
      </c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1" t="s">
        <v>215</v>
      </c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143"/>
      <c r="BQ128" s="146"/>
      <c r="BR128" s="146"/>
      <c r="BS128" s="146"/>
      <c r="BT128" s="146"/>
      <c r="BU128" s="147"/>
    </row>
    <row r="129" spans="1:73" ht="17.25" customHeight="1" outlineLevel="1">
      <c r="A129" s="128"/>
      <c r="B129" s="41" t="s">
        <v>208</v>
      </c>
      <c r="C129" s="3">
        <v>1</v>
      </c>
      <c r="D129" s="4">
        <f t="shared" si="5"/>
        <v>2</v>
      </c>
      <c r="E129" s="42">
        <v>46001</v>
      </c>
      <c r="F129" s="42">
        <v>46002</v>
      </c>
      <c r="G129" s="6" t="s">
        <v>128</v>
      </c>
      <c r="H129" s="1"/>
      <c r="I129" s="1"/>
      <c r="J129" s="1"/>
      <c r="K129" s="1"/>
      <c r="L129" s="1"/>
      <c r="M129" s="1"/>
      <c r="N129" s="1"/>
      <c r="O129" s="165" t="s">
        <v>73</v>
      </c>
      <c r="P129" s="165"/>
      <c r="Q129" s="1"/>
      <c r="R129" s="1"/>
      <c r="S129" s="10" t="s">
        <v>212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70" t="s">
        <v>74</v>
      </c>
      <c r="AE129" s="171"/>
      <c r="AF129" s="171"/>
      <c r="AG129" s="11"/>
      <c r="AH129" s="11"/>
      <c r="AI129" s="11"/>
      <c r="AJ129" s="11"/>
      <c r="AK129" s="11"/>
      <c r="AL129" s="11"/>
      <c r="AM129" s="11"/>
      <c r="AN129" s="10" t="s">
        <v>214</v>
      </c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0" t="s">
        <v>215</v>
      </c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32"/>
      <c r="BQ129" s="132"/>
      <c r="BR129" s="132"/>
      <c r="BS129" s="132"/>
      <c r="BT129" s="132"/>
      <c r="BU129" s="137"/>
    </row>
    <row r="130" spans="1:73" ht="17.25" customHeight="1" outlineLevel="1">
      <c r="A130" s="128"/>
      <c r="B130" s="41" t="s">
        <v>209</v>
      </c>
      <c r="C130" s="3">
        <v>1</v>
      </c>
      <c r="D130" s="4">
        <f t="shared" si="5"/>
        <v>2</v>
      </c>
      <c r="E130" s="42">
        <v>46001</v>
      </c>
      <c r="F130" s="42">
        <v>46002</v>
      </c>
      <c r="G130" s="6" t="s">
        <v>128</v>
      </c>
      <c r="H130" s="1"/>
      <c r="I130" s="1"/>
      <c r="J130" s="1"/>
      <c r="K130" s="1"/>
      <c r="L130" s="1"/>
      <c r="M130" s="1"/>
      <c r="N130" s="1"/>
      <c r="O130" s="165" t="s">
        <v>73</v>
      </c>
      <c r="P130" s="165"/>
      <c r="Q130" s="1"/>
      <c r="R130" s="1"/>
      <c r="S130" s="10" t="s">
        <v>212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70" t="s">
        <v>74</v>
      </c>
      <c r="AE130" s="171"/>
      <c r="AF130" s="171"/>
      <c r="AG130" s="11"/>
      <c r="AH130" s="11"/>
      <c r="AI130" s="11"/>
      <c r="AJ130" s="11"/>
      <c r="AK130" s="11"/>
      <c r="AL130" s="11"/>
      <c r="AM130" s="11"/>
      <c r="AN130" s="10" t="s">
        <v>214</v>
      </c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0" t="s">
        <v>215</v>
      </c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32"/>
      <c r="BQ130" s="132"/>
      <c r="BR130" s="132"/>
      <c r="BS130" s="132"/>
      <c r="BT130" s="132"/>
      <c r="BU130" s="137"/>
    </row>
    <row r="131" spans="1:73" ht="17.25" customHeight="1" outlineLevel="1">
      <c r="A131" s="128"/>
      <c r="B131" s="41" t="s">
        <v>211</v>
      </c>
      <c r="C131" s="3">
        <v>1</v>
      </c>
      <c r="D131" s="4">
        <f t="shared" si="5"/>
        <v>5</v>
      </c>
      <c r="E131" s="42">
        <v>45992</v>
      </c>
      <c r="F131" s="42">
        <v>45996</v>
      </c>
      <c r="G131" s="6" t="s">
        <v>128</v>
      </c>
      <c r="H131" s="1"/>
      <c r="I131" s="1"/>
      <c r="J131" s="1"/>
      <c r="K131" s="1"/>
      <c r="L131" s="1"/>
      <c r="M131" s="1"/>
      <c r="N131" s="1"/>
      <c r="O131" s="165" t="s">
        <v>73</v>
      </c>
      <c r="P131" s="165"/>
      <c r="Q131" s="1"/>
      <c r="R131" s="1"/>
      <c r="S131" s="10" t="s">
        <v>212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70" t="s">
        <v>74</v>
      </c>
      <c r="AE131" s="171"/>
      <c r="AF131" s="171"/>
      <c r="AG131" s="11"/>
      <c r="AH131" s="11"/>
      <c r="AI131" s="11"/>
      <c r="AJ131" s="11"/>
      <c r="AK131" s="11"/>
      <c r="AL131" s="11"/>
      <c r="AM131" s="11"/>
      <c r="AN131" s="10" t="s">
        <v>214</v>
      </c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0" t="s">
        <v>215</v>
      </c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32"/>
      <c r="BQ131" s="132"/>
      <c r="BR131" s="132"/>
      <c r="BS131" s="132"/>
      <c r="BT131" s="132"/>
      <c r="BU131" s="137"/>
    </row>
    <row r="132" spans="1:73" ht="17.25" customHeight="1" outlineLevel="1">
      <c r="A132" s="128"/>
      <c r="B132" s="41" t="s">
        <v>210</v>
      </c>
      <c r="C132" s="3">
        <v>1</v>
      </c>
      <c r="D132" s="4">
        <f t="shared" si="5"/>
        <v>1</v>
      </c>
      <c r="E132" s="42">
        <v>46002</v>
      </c>
      <c r="F132" s="42">
        <v>46002</v>
      </c>
      <c r="G132" s="6" t="s">
        <v>128</v>
      </c>
      <c r="H132" s="1"/>
      <c r="I132" s="1"/>
      <c r="J132" s="1"/>
      <c r="K132" s="1"/>
      <c r="L132" s="1"/>
      <c r="M132" s="1"/>
      <c r="N132" s="1"/>
      <c r="O132" s="165" t="s">
        <v>73</v>
      </c>
      <c r="P132" s="165"/>
      <c r="Q132" s="1"/>
      <c r="R132" s="1"/>
      <c r="S132" s="10" t="s">
        <v>212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70" t="s">
        <v>74</v>
      </c>
      <c r="AE132" s="171"/>
      <c r="AF132" s="171"/>
      <c r="AG132" s="11"/>
      <c r="AH132" s="11"/>
      <c r="AI132" s="11"/>
      <c r="AJ132" s="11"/>
      <c r="AK132" s="11"/>
      <c r="AL132" s="11"/>
      <c r="AM132" s="11"/>
      <c r="AN132" s="10" t="s">
        <v>214</v>
      </c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0" t="s">
        <v>215</v>
      </c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32"/>
      <c r="BQ132" s="132"/>
      <c r="BR132" s="132"/>
      <c r="BS132" s="132"/>
      <c r="BT132" s="132"/>
      <c r="BU132" s="137"/>
    </row>
    <row r="133" spans="1:73" ht="17.25" customHeight="1">
      <c r="A133" s="128"/>
      <c r="B133" s="124" t="s">
        <v>154</v>
      </c>
      <c r="C133" s="3">
        <v>1</v>
      </c>
      <c r="D133" s="4">
        <f t="shared" si="5"/>
        <v>4</v>
      </c>
      <c r="E133" s="42">
        <f>MIN(E134:E136)</f>
        <v>46003</v>
      </c>
      <c r="F133" s="42">
        <f>MAX(F134:F136)</f>
        <v>46006</v>
      </c>
      <c r="G133" s="6" t="s">
        <v>128</v>
      </c>
      <c r="H133" s="1"/>
      <c r="I133" s="1"/>
      <c r="J133" s="1"/>
      <c r="K133" s="1"/>
      <c r="L133" s="1"/>
      <c r="M133" s="1"/>
      <c r="N133" s="1"/>
      <c r="O133" s="165" t="s">
        <v>73</v>
      </c>
      <c r="P133" s="165"/>
      <c r="Q133" s="1"/>
      <c r="R133" s="1"/>
      <c r="S133" s="10" t="s">
        <v>212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70" t="s">
        <v>74</v>
      </c>
      <c r="AE133" s="171"/>
      <c r="AF133" s="171"/>
      <c r="AG133" s="11"/>
      <c r="AH133" s="11"/>
      <c r="AI133" s="11"/>
      <c r="AJ133" s="11"/>
      <c r="AK133" s="11"/>
      <c r="AL133" s="11"/>
      <c r="AM133" s="11"/>
      <c r="AN133" s="10" t="s">
        <v>214</v>
      </c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0" t="s">
        <v>215</v>
      </c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32"/>
      <c r="BQ133" s="132"/>
      <c r="BR133" s="132"/>
      <c r="BS133" s="132"/>
      <c r="BT133" s="132"/>
      <c r="BU133" s="137"/>
    </row>
    <row r="134" spans="1:73" ht="17.25" customHeight="1" outlineLevel="1">
      <c r="A134" s="128"/>
      <c r="B134" s="41" t="s">
        <v>108</v>
      </c>
      <c r="C134" s="3">
        <v>1</v>
      </c>
      <c r="D134" s="4">
        <f t="shared" si="5"/>
        <v>1</v>
      </c>
      <c r="E134" s="42">
        <v>46003</v>
      </c>
      <c r="F134" s="42">
        <v>46003</v>
      </c>
      <c r="G134" s="6" t="s">
        <v>128</v>
      </c>
      <c r="H134" s="1"/>
      <c r="I134" s="1"/>
      <c r="J134" s="1"/>
      <c r="K134" s="1"/>
      <c r="L134" s="1"/>
      <c r="M134" s="1"/>
      <c r="N134" s="1"/>
      <c r="O134" s="165" t="s">
        <v>73</v>
      </c>
      <c r="P134" s="165"/>
      <c r="Q134" s="1"/>
      <c r="R134" s="1"/>
      <c r="S134" s="10" t="s">
        <v>212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70" t="s">
        <v>74</v>
      </c>
      <c r="AE134" s="171"/>
      <c r="AF134" s="171"/>
      <c r="AG134" s="11"/>
      <c r="AH134" s="11"/>
      <c r="AI134" s="11"/>
      <c r="AJ134" s="11"/>
      <c r="AK134" s="11"/>
      <c r="AL134" s="11"/>
      <c r="AM134" s="11"/>
      <c r="AN134" s="10" t="s">
        <v>214</v>
      </c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0" t="s">
        <v>215</v>
      </c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32"/>
      <c r="BQ134" s="131"/>
      <c r="BR134" s="131"/>
      <c r="BS134" s="131"/>
      <c r="BT134" s="131"/>
      <c r="BU134" s="133"/>
    </row>
    <row r="135" spans="1:73" ht="17.25" customHeight="1" outlineLevel="1">
      <c r="A135" s="128"/>
      <c r="B135" s="41" t="s">
        <v>109</v>
      </c>
      <c r="C135" s="3">
        <v>1</v>
      </c>
      <c r="D135" s="4">
        <f t="shared" si="5"/>
        <v>1</v>
      </c>
      <c r="E135" s="42">
        <v>46003</v>
      </c>
      <c r="F135" s="42">
        <v>46003</v>
      </c>
      <c r="G135" s="6" t="s">
        <v>128</v>
      </c>
      <c r="H135" s="1"/>
      <c r="I135" s="1"/>
      <c r="J135" s="1"/>
      <c r="K135" s="1"/>
      <c r="L135" s="1"/>
      <c r="M135" s="1"/>
      <c r="N135" s="1"/>
      <c r="O135" s="165" t="s">
        <v>73</v>
      </c>
      <c r="P135" s="165"/>
      <c r="Q135" s="1"/>
      <c r="R135" s="1"/>
      <c r="S135" s="10" t="s">
        <v>212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70" t="s">
        <v>74</v>
      </c>
      <c r="AE135" s="171"/>
      <c r="AF135" s="171"/>
      <c r="AG135" s="11"/>
      <c r="AH135" s="11"/>
      <c r="AI135" s="11"/>
      <c r="AJ135" s="11"/>
      <c r="AK135" s="11"/>
      <c r="AL135" s="11"/>
      <c r="AM135" s="11"/>
      <c r="AN135" s="10" t="s">
        <v>214</v>
      </c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0" t="s">
        <v>215</v>
      </c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32"/>
      <c r="BQ135" s="131"/>
      <c r="BR135" s="131"/>
      <c r="BS135" s="131"/>
      <c r="BT135" s="131"/>
      <c r="BU135" s="133"/>
    </row>
    <row r="136" spans="1:73" ht="17.25" customHeight="1" outlineLevel="1" thickBot="1">
      <c r="A136" s="129"/>
      <c r="B136" s="86" t="s">
        <v>191</v>
      </c>
      <c r="C136" s="64">
        <v>1</v>
      </c>
      <c r="D136" s="65">
        <f t="shared" si="5"/>
        <v>4</v>
      </c>
      <c r="E136" s="87">
        <v>46003</v>
      </c>
      <c r="F136" s="87">
        <v>46006</v>
      </c>
      <c r="G136" s="67" t="s">
        <v>189</v>
      </c>
      <c r="H136" s="70"/>
      <c r="I136" s="70"/>
      <c r="J136" s="70"/>
      <c r="K136" s="70"/>
      <c r="L136" s="70"/>
      <c r="M136" s="70"/>
      <c r="N136" s="70"/>
      <c r="O136" s="166" t="s">
        <v>73</v>
      </c>
      <c r="P136" s="166"/>
      <c r="Q136" s="70"/>
      <c r="R136" s="70"/>
      <c r="S136" s="72" t="s">
        <v>212</v>
      </c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172" t="s">
        <v>74</v>
      </c>
      <c r="AE136" s="173"/>
      <c r="AF136" s="173"/>
      <c r="AG136" s="73"/>
      <c r="AH136" s="73"/>
      <c r="AI136" s="73"/>
      <c r="AJ136" s="73"/>
      <c r="AK136" s="73"/>
      <c r="AL136" s="73"/>
      <c r="AM136" s="73"/>
      <c r="AN136" s="72" t="s">
        <v>214</v>
      </c>
      <c r="AO136" s="73"/>
      <c r="AP136" s="73"/>
      <c r="AQ136" s="73"/>
      <c r="AR136" s="73"/>
      <c r="AS136" s="73"/>
      <c r="AT136" s="73"/>
      <c r="AU136" s="73"/>
      <c r="AV136" s="73"/>
      <c r="AW136" s="73"/>
      <c r="AX136" s="73"/>
      <c r="AY136" s="73"/>
      <c r="AZ136" s="73"/>
      <c r="BA136" s="73"/>
      <c r="BB136" s="72" t="s">
        <v>215</v>
      </c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148"/>
      <c r="BQ136" s="141"/>
      <c r="BR136" s="141"/>
      <c r="BS136" s="141"/>
      <c r="BT136" s="141"/>
      <c r="BU136" s="142"/>
    </row>
    <row r="137" spans="1:73" ht="17.25" customHeight="1" thickBot="1">
      <c r="A137" s="101" t="s">
        <v>206</v>
      </c>
      <c r="B137" s="125" t="s">
        <v>207</v>
      </c>
      <c r="C137" s="88">
        <v>1</v>
      </c>
      <c r="D137" s="89">
        <f t="shared" si="5"/>
        <v>1</v>
      </c>
      <c r="E137" s="90">
        <v>46010</v>
      </c>
      <c r="F137" s="90">
        <v>46010</v>
      </c>
      <c r="G137" s="91" t="s">
        <v>128</v>
      </c>
      <c r="H137" s="92"/>
      <c r="I137" s="92"/>
      <c r="J137" s="92"/>
      <c r="K137" s="92"/>
      <c r="L137" s="92"/>
      <c r="M137" s="92"/>
      <c r="N137" s="92"/>
      <c r="O137" s="168" t="s">
        <v>73</v>
      </c>
      <c r="P137" s="168"/>
      <c r="Q137" s="92"/>
      <c r="R137" s="92"/>
      <c r="S137" s="93" t="s">
        <v>212</v>
      </c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175" t="s">
        <v>74</v>
      </c>
      <c r="AE137" s="176"/>
      <c r="AF137" s="176"/>
      <c r="AG137" s="94"/>
      <c r="AH137" s="94"/>
      <c r="AI137" s="94"/>
      <c r="AJ137" s="94"/>
      <c r="AK137" s="94"/>
      <c r="AL137" s="94"/>
      <c r="AM137" s="94"/>
      <c r="AN137" s="93" t="s">
        <v>214</v>
      </c>
      <c r="AO137" s="94"/>
      <c r="AP137" s="94"/>
      <c r="AQ137" s="94"/>
      <c r="AR137" s="94"/>
      <c r="AS137" s="94"/>
      <c r="AT137" s="94"/>
      <c r="AU137" s="94"/>
      <c r="AV137" s="94"/>
      <c r="AW137" s="94"/>
      <c r="AX137" s="94"/>
      <c r="AY137" s="94"/>
      <c r="AZ137" s="94"/>
      <c r="BA137" s="94"/>
      <c r="BB137" s="93" t="s">
        <v>215</v>
      </c>
      <c r="BC137" s="94"/>
      <c r="BD137" s="94"/>
      <c r="BE137" s="94"/>
      <c r="BF137" s="94"/>
      <c r="BG137" s="94"/>
      <c r="BH137" s="94"/>
      <c r="BI137" s="94"/>
      <c r="BJ137" s="94"/>
      <c r="BK137" s="94"/>
      <c r="BL137" s="94"/>
      <c r="BM137" s="94"/>
      <c r="BN137" s="94"/>
      <c r="BO137" s="94"/>
      <c r="BP137" s="161"/>
      <c r="BQ137" s="151"/>
      <c r="BR137" s="151"/>
      <c r="BS137" s="151"/>
      <c r="BT137" s="151"/>
      <c r="BU137" s="157"/>
    </row>
  </sheetData>
  <mergeCells count="413">
    <mergeCell ref="BP116:BU116"/>
    <mergeCell ref="BP117:BU117"/>
    <mergeCell ref="BP118:BU118"/>
    <mergeCell ref="BP119:BU119"/>
    <mergeCell ref="BP111:BU111"/>
    <mergeCell ref="BP112:BU112"/>
    <mergeCell ref="BP104:BU104"/>
    <mergeCell ref="BP29:BU29"/>
    <mergeCell ref="BP30:BU30"/>
    <mergeCell ref="BP33:BU33"/>
    <mergeCell ref="BP35:BU35"/>
    <mergeCell ref="BP36:BU36"/>
    <mergeCell ref="BP37:BU37"/>
    <mergeCell ref="BP38:BU38"/>
    <mergeCell ref="BP42:BU42"/>
    <mergeCell ref="BP43:BU43"/>
    <mergeCell ref="BP31:BU31"/>
    <mergeCell ref="BP32:BU32"/>
    <mergeCell ref="BP34:BU34"/>
    <mergeCell ref="BP7:BU7"/>
    <mergeCell ref="BP8:BU8"/>
    <mergeCell ref="BP9:BU9"/>
    <mergeCell ref="BP10:BU10"/>
    <mergeCell ref="BP11:BU11"/>
    <mergeCell ref="BP12:BU12"/>
    <mergeCell ref="BP13:BU13"/>
    <mergeCell ref="BP27:BU27"/>
    <mergeCell ref="BP28:BU28"/>
    <mergeCell ref="O35:P35"/>
    <mergeCell ref="O36:P36"/>
    <mergeCell ref="O37:P37"/>
    <mergeCell ref="O38:P38"/>
    <mergeCell ref="O44:P44"/>
    <mergeCell ref="O45:P45"/>
    <mergeCell ref="O46:P46"/>
    <mergeCell ref="O54:P54"/>
    <mergeCell ref="O65:P65"/>
    <mergeCell ref="O49:P49"/>
    <mergeCell ref="O7:P7"/>
    <mergeCell ref="O8:P8"/>
    <mergeCell ref="O9:P9"/>
    <mergeCell ref="O13:P13"/>
    <mergeCell ref="O27:P27"/>
    <mergeCell ref="O28:P28"/>
    <mergeCell ref="O29:P29"/>
    <mergeCell ref="O30:P30"/>
    <mergeCell ref="O33:P33"/>
    <mergeCell ref="O24:P24"/>
    <mergeCell ref="AD28:AF28"/>
    <mergeCell ref="AD27:AF27"/>
    <mergeCell ref="AD9:AF9"/>
    <mergeCell ref="AD8:AF8"/>
    <mergeCell ref="AD7:AF7"/>
    <mergeCell ref="AD44:AF44"/>
    <mergeCell ref="AD45:AF45"/>
    <mergeCell ref="AD46:AF46"/>
    <mergeCell ref="AD13:AF13"/>
    <mergeCell ref="AD31:AF31"/>
    <mergeCell ref="AD32:AF32"/>
    <mergeCell ref="AD34:AF34"/>
    <mergeCell ref="AD10:AF10"/>
    <mergeCell ref="AD38:AF38"/>
    <mergeCell ref="AD37:AF37"/>
    <mergeCell ref="AD36:AF36"/>
    <mergeCell ref="O79:P79"/>
    <mergeCell ref="O80:P80"/>
    <mergeCell ref="O81:P81"/>
    <mergeCell ref="O121:P121"/>
    <mergeCell ref="AD119:AF119"/>
    <mergeCell ref="AD120:AF120"/>
    <mergeCell ref="O118:P118"/>
    <mergeCell ref="AD118:AF118"/>
    <mergeCell ref="O115:P115"/>
    <mergeCell ref="O116:P116"/>
    <mergeCell ref="O117:P117"/>
    <mergeCell ref="AD115:AF115"/>
    <mergeCell ref="AD116:AF116"/>
    <mergeCell ref="AD117:AF117"/>
    <mergeCell ref="O111:P111"/>
    <mergeCell ref="BP135:BU135"/>
    <mergeCell ref="O136:P136"/>
    <mergeCell ref="BP136:BU136"/>
    <mergeCell ref="AD133:AF133"/>
    <mergeCell ref="AD134:AF134"/>
    <mergeCell ref="AD136:AF136"/>
    <mergeCell ref="O127:P127"/>
    <mergeCell ref="BP124:BU124"/>
    <mergeCell ref="BP125:BU125"/>
    <mergeCell ref="BP133:BU133"/>
    <mergeCell ref="BP134:BU134"/>
    <mergeCell ref="BP127:BU127"/>
    <mergeCell ref="O128:P128"/>
    <mergeCell ref="BP128:BU128"/>
    <mergeCell ref="AD126:AF126"/>
    <mergeCell ref="O132:P132"/>
    <mergeCell ref="BP126:BU126"/>
    <mergeCell ref="BP129:BU129"/>
    <mergeCell ref="BP130:BU130"/>
    <mergeCell ref="BP131:BU131"/>
    <mergeCell ref="BP132:BU132"/>
    <mergeCell ref="BP137:BU137"/>
    <mergeCell ref="AD135:AF135"/>
    <mergeCell ref="O107:P107"/>
    <mergeCell ref="O108:P108"/>
    <mergeCell ref="BP105:BU105"/>
    <mergeCell ref="O106:P106"/>
    <mergeCell ref="BP106:BU106"/>
    <mergeCell ref="BP107:BU107"/>
    <mergeCell ref="O123:P123"/>
    <mergeCell ref="O124:P124"/>
    <mergeCell ref="O125:P125"/>
    <mergeCell ref="BP120:BU120"/>
    <mergeCell ref="BP121:BU121"/>
    <mergeCell ref="O122:P122"/>
    <mergeCell ref="BP122:BU122"/>
    <mergeCell ref="BP123:BU123"/>
    <mergeCell ref="AD129:AF129"/>
    <mergeCell ref="AD130:AF130"/>
    <mergeCell ref="AD131:AF131"/>
    <mergeCell ref="AD132:AF132"/>
    <mergeCell ref="O126:P126"/>
    <mergeCell ref="O129:P129"/>
    <mergeCell ref="O130:P130"/>
    <mergeCell ref="O131:P131"/>
    <mergeCell ref="AF1:AL1"/>
    <mergeCell ref="F3:BU3"/>
    <mergeCell ref="A2:BU2"/>
    <mergeCell ref="F4:F5"/>
    <mergeCell ref="G4:G5"/>
    <mergeCell ref="O6:P6"/>
    <mergeCell ref="BP25:BU25"/>
    <mergeCell ref="BP26:BU26"/>
    <mergeCell ref="AD12:AF12"/>
    <mergeCell ref="AD14:AF14"/>
    <mergeCell ref="AD15:AF15"/>
    <mergeCell ref="AD16:AF16"/>
    <mergeCell ref="AD19:AF19"/>
    <mergeCell ref="AD20:AF20"/>
    <mergeCell ref="AD21:AF21"/>
    <mergeCell ref="AD22:AF22"/>
    <mergeCell ref="AD23:AF23"/>
    <mergeCell ref="AD24:AF24"/>
    <mergeCell ref="BP21:BU21"/>
    <mergeCell ref="BP22:BU22"/>
    <mergeCell ref="BP14:BU14"/>
    <mergeCell ref="BP15:BU15"/>
    <mergeCell ref="BP16:BU16"/>
    <mergeCell ref="O11:P11"/>
    <mergeCell ref="D4:D5"/>
    <mergeCell ref="E4:E5"/>
    <mergeCell ref="C3:E3"/>
    <mergeCell ref="A4:A5"/>
    <mergeCell ref="B4:B5"/>
    <mergeCell ref="C4:C5"/>
    <mergeCell ref="AD137:AF137"/>
    <mergeCell ref="O137:P137"/>
    <mergeCell ref="O133:P133"/>
    <mergeCell ref="O134:P134"/>
    <mergeCell ref="O135:P135"/>
    <mergeCell ref="O34:P34"/>
    <mergeCell ref="O21:P21"/>
    <mergeCell ref="O26:P26"/>
    <mergeCell ref="O31:P31"/>
    <mergeCell ref="O32:P32"/>
    <mergeCell ref="A39:A114"/>
    <mergeCell ref="AD123:AF123"/>
    <mergeCell ref="AD124:AF124"/>
    <mergeCell ref="AD125:AF125"/>
    <mergeCell ref="AD127:AF127"/>
    <mergeCell ref="AD128:AF128"/>
    <mergeCell ref="O119:P119"/>
    <mergeCell ref="O120:P120"/>
    <mergeCell ref="BP103:BU103"/>
    <mergeCell ref="BP108:BU108"/>
    <mergeCell ref="AD111:AF111"/>
    <mergeCell ref="BP113:BU113"/>
    <mergeCell ref="BP114:BU114"/>
    <mergeCell ref="BP115:BU115"/>
    <mergeCell ref="O112:P112"/>
    <mergeCell ref="O113:P113"/>
    <mergeCell ref="O114:P114"/>
    <mergeCell ref="AD112:AF112"/>
    <mergeCell ref="AD113:AF113"/>
    <mergeCell ref="AD114:AF114"/>
    <mergeCell ref="BP109:BU109"/>
    <mergeCell ref="BP110:BU110"/>
    <mergeCell ref="AD106:AF106"/>
    <mergeCell ref="AD107:AF107"/>
    <mergeCell ref="AD104:AF104"/>
    <mergeCell ref="AD105:AF105"/>
    <mergeCell ref="AD108:AF108"/>
    <mergeCell ref="O110:P110"/>
    <mergeCell ref="AD110:AF110"/>
    <mergeCell ref="AD109:AF109"/>
    <mergeCell ref="O109:P109"/>
    <mergeCell ref="BP100:BU100"/>
    <mergeCell ref="O99:P99"/>
    <mergeCell ref="O100:P100"/>
    <mergeCell ref="AD99:AF99"/>
    <mergeCell ref="AD100:AF100"/>
    <mergeCell ref="BP101:BU101"/>
    <mergeCell ref="O102:P102"/>
    <mergeCell ref="BP102:BU102"/>
    <mergeCell ref="AD102:AF102"/>
    <mergeCell ref="O101:P101"/>
    <mergeCell ref="AD101:AF101"/>
    <mergeCell ref="BP97:BU97"/>
    <mergeCell ref="O98:P98"/>
    <mergeCell ref="BP98:BU98"/>
    <mergeCell ref="BP99:BU99"/>
    <mergeCell ref="AD98:AF98"/>
    <mergeCell ref="O96:P96"/>
    <mergeCell ref="O97:P97"/>
    <mergeCell ref="AD96:AF96"/>
    <mergeCell ref="AD97:AF97"/>
    <mergeCell ref="BP94:BU94"/>
    <mergeCell ref="O95:P95"/>
    <mergeCell ref="BP95:BU95"/>
    <mergeCell ref="BP96:BU96"/>
    <mergeCell ref="AD95:AF95"/>
    <mergeCell ref="O93:P93"/>
    <mergeCell ref="O94:P94"/>
    <mergeCell ref="AD94:AF94"/>
    <mergeCell ref="AD93:AF93"/>
    <mergeCell ref="BP91:BU91"/>
    <mergeCell ref="BP92:BU92"/>
    <mergeCell ref="O90:P90"/>
    <mergeCell ref="O91:P91"/>
    <mergeCell ref="O92:P92"/>
    <mergeCell ref="AD90:AF90"/>
    <mergeCell ref="AD91:AF91"/>
    <mergeCell ref="AD92:AF92"/>
    <mergeCell ref="BP93:BU93"/>
    <mergeCell ref="BP88:BU88"/>
    <mergeCell ref="O89:P89"/>
    <mergeCell ref="BP89:BU89"/>
    <mergeCell ref="BP90:BU90"/>
    <mergeCell ref="AD89:AF89"/>
    <mergeCell ref="O85:P85"/>
    <mergeCell ref="O88:P88"/>
    <mergeCell ref="AD88:AF88"/>
    <mergeCell ref="AD85:AF85"/>
    <mergeCell ref="BP83:BU83"/>
    <mergeCell ref="BP84:BU84"/>
    <mergeCell ref="BP85:BU85"/>
    <mergeCell ref="O82:P82"/>
    <mergeCell ref="O83:P83"/>
    <mergeCell ref="O84:P84"/>
    <mergeCell ref="AD82:AF82"/>
    <mergeCell ref="AD83:AF83"/>
    <mergeCell ref="AD84:AF84"/>
    <mergeCell ref="BP76:BU76"/>
    <mergeCell ref="BP77:BU77"/>
    <mergeCell ref="O78:P78"/>
    <mergeCell ref="BP78:BU78"/>
    <mergeCell ref="BP82:BU82"/>
    <mergeCell ref="AD78:AF78"/>
    <mergeCell ref="O75:P75"/>
    <mergeCell ref="O76:P76"/>
    <mergeCell ref="O77:P77"/>
    <mergeCell ref="AD77:AF77"/>
    <mergeCell ref="AD75:AF75"/>
    <mergeCell ref="AD76:AF76"/>
    <mergeCell ref="BP79:BU79"/>
    <mergeCell ref="BP80:BU80"/>
    <mergeCell ref="BP81:BU81"/>
    <mergeCell ref="AD80:AF80"/>
    <mergeCell ref="AD81:AF81"/>
    <mergeCell ref="AD79:AF79"/>
    <mergeCell ref="BP72:BU72"/>
    <mergeCell ref="BP73:BU73"/>
    <mergeCell ref="O74:P74"/>
    <mergeCell ref="BP74:BU74"/>
    <mergeCell ref="BP75:BU75"/>
    <mergeCell ref="AD74:AF74"/>
    <mergeCell ref="O71:P71"/>
    <mergeCell ref="O72:P72"/>
    <mergeCell ref="O73:P73"/>
    <mergeCell ref="AD71:AF71"/>
    <mergeCell ref="AD72:AF72"/>
    <mergeCell ref="AD73:AF73"/>
    <mergeCell ref="BP68:BU68"/>
    <mergeCell ref="BP69:BU69"/>
    <mergeCell ref="O70:P70"/>
    <mergeCell ref="BP70:BU70"/>
    <mergeCell ref="BP71:BU71"/>
    <mergeCell ref="AD70:AF70"/>
    <mergeCell ref="O67:P67"/>
    <mergeCell ref="O68:P68"/>
    <mergeCell ref="O69:P69"/>
    <mergeCell ref="AD67:AF67"/>
    <mergeCell ref="AD68:AF68"/>
    <mergeCell ref="AD69:AF69"/>
    <mergeCell ref="BP63:BU63"/>
    <mergeCell ref="BP64:BU64"/>
    <mergeCell ref="O66:P66"/>
    <mergeCell ref="BP66:BU66"/>
    <mergeCell ref="BP67:BU67"/>
    <mergeCell ref="AD66:AF66"/>
    <mergeCell ref="O62:P62"/>
    <mergeCell ref="O63:P63"/>
    <mergeCell ref="O64:P64"/>
    <mergeCell ref="AD62:AF62"/>
    <mergeCell ref="AD63:AF63"/>
    <mergeCell ref="AD64:AF64"/>
    <mergeCell ref="BP65:BU65"/>
    <mergeCell ref="AD65:AF65"/>
    <mergeCell ref="BP59:BU59"/>
    <mergeCell ref="BP60:BU60"/>
    <mergeCell ref="O61:P61"/>
    <mergeCell ref="BP61:BU61"/>
    <mergeCell ref="BP62:BU62"/>
    <mergeCell ref="AD61:AF61"/>
    <mergeCell ref="O58:P58"/>
    <mergeCell ref="O59:P59"/>
    <mergeCell ref="O60:P60"/>
    <mergeCell ref="AD58:AF58"/>
    <mergeCell ref="AD59:AF59"/>
    <mergeCell ref="AD60:AF60"/>
    <mergeCell ref="BP56:BU56"/>
    <mergeCell ref="O57:P57"/>
    <mergeCell ref="BP57:BU57"/>
    <mergeCell ref="BP58:BU58"/>
    <mergeCell ref="AD57:AF57"/>
    <mergeCell ref="O53:P53"/>
    <mergeCell ref="O55:P55"/>
    <mergeCell ref="O56:P56"/>
    <mergeCell ref="AD53:AF53"/>
    <mergeCell ref="AD56:AF56"/>
    <mergeCell ref="AD55:AF55"/>
    <mergeCell ref="BP54:BU54"/>
    <mergeCell ref="AD54:AF54"/>
    <mergeCell ref="BP52:BU52"/>
    <mergeCell ref="BP53:BU53"/>
    <mergeCell ref="AD52:AF52"/>
    <mergeCell ref="O50:P50"/>
    <mergeCell ref="O51:P51"/>
    <mergeCell ref="AD50:AF50"/>
    <mergeCell ref="AD51:AF51"/>
    <mergeCell ref="BP50:BU50"/>
    <mergeCell ref="BP55:BU55"/>
    <mergeCell ref="A128:A136"/>
    <mergeCell ref="BP4:BU5"/>
    <mergeCell ref="BP6:BU6"/>
    <mergeCell ref="BP23:BU23"/>
    <mergeCell ref="BP24:BU24"/>
    <mergeCell ref="BP17:BU17"/>
    <mergeCell ref="BP18:BU18"/>
    <mergeCell ref="BP19:BU19"/>
    <mergeCell ref="BP20:BU20"/>
    <mergeCell ref="O39:P39"/>
    <mergeCell ref="BP39:BU39"/>
    <mergeCell ref="BP40:BU40"/>
    <mergeCell ref="AD39:AF39"/>
    <mergeCell ref="O17:P17"/>
    <mergeCell ref="O18:P18"/>
    <mergeCell ref="O19:P19"/>
    <mergeCell ref="O20:P20"/>
    <mergeCell ref="O22:P22"/>
    <mergeCell ref="O23:P23"/>
    <mergeCell ref="AD48:AF48"/>
    <mergeCell ref="O40:P40"/>
    <mergeCell ref="O41:P41"/>
    <mergeCell ref="O47:P47"/>
    <mergeCell ref="AD41:AF41"/>
    <mergeCell ref="BP41:BU41"/>
    <mergeCell ref="BP47:BU47"/>
    <mergeCell ref="O48:P48"/>
    <mergeCell ref="BP48:BU48"/>
    <mergeCell ref="A115:A127"/>
    <mergeCell ref="AD11:AF11"/>
    <mergeCell ref="AD17:AF17"/>
    <mergeCell ref="AD18:AF18"/>
    <mergeCell ref="AD25:AF25"/>
    <mergeCell ref="AD26:AF26"/>
    <mergeCell ref="BP86:BU86"/>
    <mergeCell ref="BP87:BU87"/>
    <mergeCell ref="AD49:AF49"/>
    <mergeCell ref="BP44:BU44"/>
    <mergeCell ref="BP45:BU45"/>
    <mergeCell ref="BP46:BU46"/>
    <mergeCell ref="BP49:BU49"/>
    <mergeCell ref="AD47:AF47"/>
    <mergeCell ref="AD40:AF40"/>
    <mergeCell ref="O42:P42"/>
    <mergeCell ref="O43:P43"/>
    <mergeCell ref="AD42:AF42"/>
    <mergeCell ref="AD43:AF43"/>
    <mergeCell ref="BP51:BU51"/>
    <mergeCell ref="AD6:AF6"/>
    <mergeCell ref="A6:A13"/>
    <mergeCell ref="O103:P103"/>
    <mergeCell ref="O104:P104"/>
    <mergeCell ref="AD121:AF121"/>
    <mergeCell ref="AD122:AF122"/>
    <mergeCell ref="O12:P12"/>
    <mergeCell ref="O14:P14"/>
    <mergeCell ref="O15:P15"/>
    <mergeCell ref="O16:P16"/>
    <mergeCell ref="O25:P25"/>
    <mergeCell ref="O10:P10"/>
    <mergeCell ref="A14:A38"/>
    <mergeCell ref="AD35:AF35"/>
    <mergeCell ref="AD33:AF33"/>
    <mergeCell ref="AD29:AF29"/>
    <mergeCell ref="AD30:AF30"/>
    <mergeCell ref="O86:P86"/>
    <mergeCell ref="O87:P87"/>
    <mergeCell ref="AD86:AF86"/>
    <mergeCell ref="AD87:AF87"/>
    <mergeCell ref="O52:P52"/>
    <mergeCell ref="O105:P105"/>
    <mergeCell ref="AD103:AF103"/>
  </mergeCells>
  <phoneticPr fontId="15" type="noConversion"/>
  <conditionalFormatting sqref="H6:BU137">
    <cfRule type="expression" dxfId="1" priority="1">
      <formula>AND(H$5&gt;=$E6, H$5&lt;=$F6)</formula>
    </cfRule>
  </conditionalFormatting>
  <printOptions horizontalCentered="1"/>
  <pageMargins left="0.25" right="0.25" top="0.75" bottom="0.75" header="0" footer="0"/>
  <pageSetup paperSize="9" fitToHeight="0" orientation="landscape"/>
  <headerFooter>
    <oddFooter>&amp;C&amp;P/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Coco_WBS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Web-dev</cp:lastModifiedBy>
  <dcterms:created xsi:type="dcterms:W3CDTF">2018-10-16T04:26:17Z</dcterms:created>
  <dcterms:modified xsi:type="dcterms:W3CDTF">2025-12-18T07:33:03Z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